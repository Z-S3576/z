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richPivotRecords1.xml" ContentType="application/vnd.openxmlformats-officedocument.spreadsheetml.richPivot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dd59eb4451e84ae/Curso - Dio/"/>
    </mc:Choice>
  </mc:AlternateContent>
  <xr:revisionPtr revIDLastSave="0" documentId="13_ncr:20001_{BB625D2A-C218-4D60-8E70-1311B19CFF96}" xr6:coauthVersionLast="47" xr6:coauthVersionMax="47" xr10:uidLastSave="{00000000-0000-0000-0000-000000000000}"/>
  <bookViews>
    <workbookView xWindow="-120" yWindow="-120" windowWidth="20730" windowHeight="11040" firstSheet="1" activeTab="3" xr2:uid="{00000000-000D-0000-FFFF-FFFF00000000}"/>
  </bookViews>
  <sheets>
    <sheet name="controler" sheetId="6" r:id="rId1"/>
    <sheet name="Plan8" sheetId="8" r:id="rId2"/>
    <sheet name="DATA" sheetId="1" r:id="rId3"/>
    <sheet name="dashboard" sheetId="7" r:id="rId4"/>
    <sheet name="CAIXINHA" sheetId="9" r:id="rId5"/>
  </sheets>
  <definedNames>
    <definedName name="_xlchart.v1.0" hidden="1">CAIXINHA!$B$16:$B$17</definedName>
    <definedName name="SegmentaçãodeDados_Mês">#N/A</definedName>
  </definedNames>
  <calcPr calcId="191029"/>
  <pivotCaches>
    <pivotCache cacheId="0" r:id="rId6"/>
  </pivotCaches>
  <fileRecoveryPr repairLoad="1"/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9" l="1"/>
  <c r="B42" i="1"/>
  <c r="B41" i="1"/>
  <c r="B40" i="1"/>
  <c r="B39" i="1"/>
  <c r="B38" i="1"/>
  <c r="B37" i="1"/>
  <c r="B36" i="1"/>
  <c r="B35" i="1"/>
  <c r="B34" i="1"/>
  <c r="B33" i="1"/>
  <c r="B29" i="1"/>
  <c r="B28" i="1"/>
  <c r="B27" i="1"/>
  <c r="B26" i="1"/>
  <c r="B25" i="1"/>
  <c r="B24" i="1"/>
  <c r="B23" i="1"/>
  <c r="B22" i="1"/>
  <c r="B21" i="1"/>
  <c r="B20" i="1"/>
  <c r="B19" i="1"/>
  <c r="B18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 a="1"/>
  <c r="B2" i="1" s="1"/>
  <c r="B16" i="1" a="1"/>
  <c r="B16" i="1" s="1"/>
  <c r="B17" i="1" a="1"/>
  <c r="B17" i="1" s="1"/>
  <c r="B30" i="1" a="1"/>
  <c r="B30" i="1" s="1"/>
  <c r="B31" i="1" a="1"/>
  <c r="B31" i="1" s="1"/>
  <c r="B32" i="1" a="1"/>
  <c r="B3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<sst xmlns="http://schemas.openxmlformats.org/spreadsheetml/2006/main" count="242" uniqueCount="59">
  <si>
    <t>Data</t>
  </si>
  <si>
    <t>Tipo</t>
  </si>
  <si>
    <t>Descrição</t>
  </si>
  <si>
    <t>Valor</t>
  </si>
  <si>
    <t>Categoria</t>
  </si>
  <si>
    <t>Status</t>
  </si>
  <si>
    <t xml:space="preserve">Operação Bancária </t>
  </si>
  <si>
    <t>Entrada</t>
  </si>
  <si>
    <t>Salário Mensal</t>
  </si>
  <si>
    <t>Renda Fixa</t>
  </si>
  <si>
    <t>Transferência</t>
  </si>
  <si>
    <t>Recebido</t>
  </si>
  <si>
    <t>Alimentação</t>
  </si>
  <si>
    <t>Transporte</t>
  </si>
  <si>
    <t>Lazer</t>
  </si>
  <si>
    <t>Saúde</t>
  </si>
  <si>
    <t>Consulta odontológica</t>
  </si>
  <si>
    <t>Compras Mercado</t>
  </si>
  <si>
    <t>Gasolina</t>
  </si>
  <si>
    <t>Cinema</t>
  </si>
  <si>
    <t>Educação</t>
  </si>
  <si>
    <t>Material escolar</t>
  </si>
  <si>
    <t>Vestuário</t>
  </si>
  <si>
    <t>Serviços</t>
  </si>
  <si>
    <t>Limpeza de apartamento</t>
  </si>
  <si>
    <t>Compra de roupas</t>
  </si>
  <si>
    <t>Eletrônicos</t>
  </si>
  <si>
    <t>Compra de novo celular</t>
  </si>
  <si>
    <t>Beleza</t>
  </si>
  <si>
    <t>Pet Care</t>
  </si>
  <si>
    <t>Ração</t>
  </si>
  <si>
    <t>Viagem</t>
  </si>
  <si>
    <t>Reserva de Pousada</t>
  </si>
  <si>
    <t>Gastronomia</t>
  </si>
  <si>
    <t>Jantar em restaurante</t>
  </si>
  <si>
    <t>Utilizades Domésticas</t>
  </si>
  <si>
    <t>Reparos Domésticos</t>
  </si>
  <si>
    <t>Saída</t>
  </si>
  <si>
    <t>Dividendendo emações</t>
  </si>
  <si>
    <t>Investimento</t>
  </si>
  <si>
    <t>Corte de cabelo</t>
  </si>
  <si>
    <t>Débito Automático</t>
  </si>
  <si>
    <t>Cartão de Crédito</t>
  </si>
  <si>
    <t>Pendente</t>
  </si>
  <si>
    <t>Pago</t>
  </si>
  <si>
    <t>Plano de Saúde</t>
  </si>
  <si>
    <t>Equipamentos</t>
  </si>
  <si>
    <t xml:space="preserve">Passagem </t>
  </si>
  <si>
    <t>Pagamento de Projeto</t>
  </si>
  <si>
    <t>Dividendendo em ações</t>
  </si>
  <si>
    <t>Presente de Natal</t>
  </si>
  <si>
    <t>Rótulos de Linha</t>
  </si>
  <si>
    <t>Total Geral</t>
  </si>
  <si>
    <t>Soma de Valor</t>
  </si>
  <si>
    <t>Mês</t>
  </si>
  <si>
    <t>Data de Lançamentos</t>
  </si>
  <si>
    <t>Depósitos de Reserva</t>
  </si>
  <si>
    <t xml:space="preserve">Total reservado </t>
  </si>
  <si>
    <t>Meta de Reserva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</si>
</sst>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4" borderId="1" applyNumberFormat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center"/>
    </xf>
    <xf numFmtId="3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1" applyFont="1"/>
    <xf numFmtId="0" fontId="0" fillId="2" borderId="0" xfId="0" applyFill="1"/>
    <xf numFmtId="0" fontId="0" fillId="3" borderId="0" xfId="0" applyFill="1"/>
    <xf numFmtId="1" fontId="2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44" fontId="0" fillId="0" borderId="0" xfId="0" applyNumberFormat="1"/>
    <xf numFmtId="0" fontId="3" fillId="4" borderId="1" xfId="2"/>
  </cellXfs>
  <cellStyles count="3">
    <cellStyle name="Cálculo" xfId="2" builtinId="22"/>
    <cellStyle name="Moeda" xfId="1" builtinId="4"/>
    <cellStyle name="Normal" xfId="0" builtinId="0"/>
  </cellStyles>
  <dxfs count="5"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fill>
        <patternFill patternType="solid">
          <fgColor auto="1"/>
          <bgColor theme="9" tint="-0.2499465926084170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Dark6 2" pivot="0" table="0" count="10" xr9:uid="{5AFB057B-03FE-4C2C-8649-789CDDD93D6C}">
      <tableStyleElement type="wholeTable" dxfId="4"/>
      <tableStyleElement type="headerRow" dxfId="3"/>
    </tableStyle>
  </tableStyles>
  <colors>
    <mruColors>
      <color rgb="FFFF3300"/>
      <color rgb="FFDE6D3A"/>
      <color rgb="FFCC3300"/>
      <color rgb="FFE04020"/>
      <color rgb="FFEF4111"/>
      <color rgb="FFF4B70C"/>
      <color rgb="FF95D9A5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none">
              <fgColor indexed="64"/>
              <bgColor auto="1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 tint="-0.24994659260841701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17/06/relationships/rdRichValue" Target="richData/rdrichvalue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SupportingPropertyBagStructure" Target="richData/rdsupportingpropertybagstructure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Array" Target="richData/rdarray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- curso.xlsm]Plan8!Tabela dinâmica2</c:name>
    <c:fmtId val="0"/>
  </c:pivotSource>
  <c:chart>
    <c:autoTitleDeleted val="1"/>
    <c:pivotFmts>
      <c:pivotFmt>
        <c:idx val="0"/>
        <c:spPr>
          <a:gradFill>
            <a:gsLst>
              <a:gs pos="0">
                <a:schemeClr val="accent6">
                  <a:lumMod val="75000"/>
                </a:schemeClr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  <a:effectLst>
            <a:outerShdw blurRad="50800" dist="50800" dir="5400000" algn="ctr" rotWithShape="0">
              <a:schemeClr val="accent6">
                <a:lumMod val="75000"/>
                <a:alpha val="55000"/>
              </a:scheme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Plan8!$B$3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45000">
                  <a:srgbClr val="FF7A00"/>
                </a:gs>
                <a:gs pos="70000">
                  <a:srgbClr val="FF0300"/>
                </a:gs>
                <a:gs pos="100000">
                  <a:srgbClr val="4D0808"/>
                </a:gs>
              </a:gsLst>
              <a:lin ang="5400000" scaled="0"/>
            </a:gradFill>
            <a:effectLst>
              <a:outerShdw blurRad="50800" dist="50800" dir="5400000" algn="ctr" rotWithShape="0">
                <a:schemeClr val="accent6">
                  <a:lumMod val="75000"/>
                  <a:alpha val="55000"/>
                </a:schemeClr>
              </a:outerShdw>
            </a:effectLst>
          </c:spPr>
          <c:invertIfNegative val="0"/>
          <c:cat>
            <c:strRef>
              <c:f>Plan8!$A$4:$A$6</c:f>
              <c:strCache>
                <c:ptCount val="2"/>
                <c:pt idx="0">
                  <c:v>Investimento</c:v>
                </c:pt>
                <c:pt idx="1">
                  <c:v>Renda Fixa</c:v>
                </c:pt>
              </c:strCache>
            </c:strRef>
          </c:cat>
          <c:val>
            <c:numRef>
              <c:f>Plan8!$B$4:$B$6</c:f>
              <c:numCache>
                <c:formatCode>"R$"\ #,##0.00</c:formatCode>
                <c:ptCount val="2"/>
                <c:pt idx="0">
                  <c:v>1600</c:v>
                </c:pt>
                <c:pt idx="1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9-497F-BD51-143AFFABD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03404416"/>
        <c:axId val="203405952"/>
        <c:axId val="0"/>
      </c:bar3DChart>
      <c:catAx>
        <c:axId val="2034044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03405952"/>
        <c:crosses val="autoZero"/>
        <c:auto val="1"/>
        <c:lblAlgn val="ctr"/>
        <c:lblOffset val="100"/>
        <c:noMultiLvlLbl val="0"/>
      </c:catAx>
      <c:valAx>
        <c:axId val="203405952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ln w="9525">
            <a:noFill/>
          </a:ln>
        </c:spPr>
        <c:crossAx val="2034044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  <a:effectLst>
      <a:innerShdw blurRad="63500" dist="50800" dir="16200000">
        <a:prstClr val="black">
          <a:alpha val="50000"/>
        </a:prstClr>
      </a:inn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- curso.xlsm]Plan8!Tabela dinâmica2</c:name>
    <c:fmtId val="4"/>
  </c:pivotSource>
  <c:chart>
    <c:autoTitleDeleted val="1"/>
    <c:pivotFmts>
      <c:pivotFmt>
        <c:idx val="0"/>
        <c:spPr>
          <a:gradFill>
            <a:gsLst>
              <a:gs pos="0">
                <a:schemeClr val="accent6">
                  <a:lumMod val="75000"/>
                </a:schemeClr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  <a:effectLst>
            <a:outerShdw blurRad="50800" dist="50800" dir="5400000" algn="ctr" rotWithShape="0">
              <a:schemeClr val="accent6">
                <a:lumMod val="75000"/>
                <a:alpha val="55000"/>
              </a:schemeClr>
            </a:outerShdw>
          </a:effectLst>
        </c:spPr>
        <c:marker>
          <c:symbol val="none"/>
        </c:marker>
      </c:pivotFmt>
      <c:pivotFmt>
        <c:idx val="1"/>
        <c:spPr>
          <a:gradFill>
            <a:gsLst>
              <a:gs pos="0">
                <a:schemeClr val="accent6">
                  <a:lumMod val="75000"/>
                </a:schemeClr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  <a:effectLst>
            <a:outerShdw blurRad="50800" dist="50800" dir="5400000" algn="ctr" rotWithShape="0">
              <a:schemeClr val="accent6">
                <a:lumMod val="75000"/>
                <a:alpha val="55000"/>
              </a:schemeClr>
            </a:outerShdw>
          </a:effectLst>
        </c:spPr>
        <c:marker>
          <c:symbol val="none"/>
        </c:marker>
      </c:pivotFmt>
      <c:pivotFmt>
        <c:idx val="2"/>
        <c:spPr>
          <a:gradFill>
            <a:gsLst>
              <a:gs pos="0">
                <a:schemeClr val="accent6">
                  <a:lumMod val="75000"/>
                </a:schemeClr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  <a:effectLst>
            <a:outerShdw blurRad="50800" dist="50800" dir="5400000" algn="ctr" rotWithShape="0">
              <a:schemeClr val="accent6">
                <a:lumMod val="75000"/>
                <a:alpha val="55000"/>
              </a:scheme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004655188052157"/>
          <c:y val="0.22867696189069484"/>
          <c:w val="0.72882118377078797"/>
          <c:h val="0.64501779026267336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Plan8!$B$3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45000">
                  <a:srgbClr val="FF7A00"/>
                </a:gs>
                <a:gs pos="70000">
                  <a:srgbClr val="FF0300"/>
                </a:gs>
                <a:gs pos="100000">
                  <a:srgbClr val="4D0808"/>
                </a:gs>
              </a:gsLst>
              <a:lin ang="5400000" scaled="0"/>
            </a:gradFill>
            <a:effectLst>
              <a:outerShdw blurRad="50800" dist="50800" dir="5400000" algn="ctr" rotWithShape="0">
                <a:schemeClr val="accent6">
                  <a:lumMod val="75000"/>
                  <a:alpha val="55000"/>
                </a:schemeClr>
              </a:outerShdw>
            </a:effectLst>
          </c:spPr>
          <c:invertIfNegative val="0"/>
          <c:cat>
            <c:strRef>
              <c:f>Plan8!$A$4:$A$6</c:f>
              <c:strCache>
                <c:ptCount val="2"/>
                <c:pt idx="0">
                  <c:v>Investimento</c:v>
                </c:pt>
                <c:pt idx="1">
                  <c:v>Renda Fixa</c:v>
                </c:pt>
              </c:strCache>
            </c:strRef>
          </c:cat>
          <c:val>
            <c:numRef>
              <c:f>Plan8!$B$4:$B$6</c:f>
              <c:numCache>
                <c:formatCode>"R$"\ #,##0.00</c:formatCode>
                <c:ptCount val="2"/>
                <c:pt idx="0">
                  <c:v>1600</c:v>
                </c:pt>
                <c:pt idx="1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B-4641-BF79-9BEDE1AFA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15062400"/>
        <c:axId val="215063936"/>
        <c:axId val="0"/>
      </c:bar3DChart>
      <c:catAx>
        <c:axId val="215062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5063936"/>
        <c:crosses val="autoZero"/>
        <c:auto val="1"/>
        <c:lblAlgn val="ctr"/>
        <c:lblOffset val="100"/>
        <c:noMultiLvlLbl val="0"/>
      </c:catAx>
      <c:valAx>
        <c:axId val="215063936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ln w="9525">
            <a:noFill/>
          </a:ln>
        </c:spPr>
        <c:crossAx val="215062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  <a:effectLst>
      <a:innerShdw blurRad="63500" dist="50800" dir="16200000">
        <a:prstClr val="black">
          <a:alpha val="50000"/>
        </a:prstClr>
      </a:inn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- curso.xlsm]controler!Tabela dinâmica1</c:name>
    <c:fmtId val="2"/>
  </c:pivotSource>
  <c:chart>
    <c:autoTitleDeleted val="1"/>
    <c:pivotFmts>
      <c:pivotFmt>
        <c:idx val="0"/>
        <c:spPr>
          <a:gradFill>
            <a:gsLst>
              <a:gs pos="0">
                <a:srgbClr val="FFF200"/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</c:spPr>
        <c:marker>
          <c:symbol val="none"/>
        </c:marker>
      </c:pivotFmt>
      <c:pivotFmt>
        <c:idx val="1"/>
        <c:spPr>
          <a:gradFill>
            <a:gsLst>
              <a:gs pos="0">
                <a:srgbClr val="FFF200"/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</c:spPr>
        <c:marker>
          <c:symbol val="none"/>
        </c:marker>
      </c:pivotFmt>
      <c:pivotFmt>
        <c:idx val="2"/>
        <c:spPr>
          <a:gradFill>
            <a:gsLst>
              <a:gs pos="0">
                <a:srgbClr val="FFF200"/>
              </a:gs>
              <a:gs pos="45000">
                <a:srgbClr val="FF7A00"/>
              </a:gs>
              <a:gs pos="70000">
                <a:srgbClr val="FF0300"/>
              </a:gs>
              <a:gs pos="100000">
                <a:srgbClr val="4D0808"/>
              </a:gs>
            </a:gsLst>
            <a:lin ang="5400000" scaled="0"/>
          </a:gra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</c:pivotFmts>
    <c:plotArea>
      <c:layout>
        <c:manualLayout>
          <c:layoutTarget val="inner"/>
          <c:xMode val="edge"/>
          <c:yMode val="edge"/>
          <c:x val="9.5604295565269573E-2"/>
          <c:y val="0.33386260033186954"/>
          <c:w val="0.87845851959195398"/>
          <c:h val="0.478836586167404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controler!$B$3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FFF200"/>
                </a:gs>
                <a:gs pos="45000">
                  <a:srgbClr val="FF7A00"/>
                </a:gs>
                <a:gs pos="70000">
                  <a:srgbClr val="FF0300"/>
                </a:gs>
                <a:gs pos="100000">
                  <a:srgbClr val="4D0808"/>
                </a:gs>
              </a:gsLst>
              <a:lin ang="5400000" scaled="0"/>
            </a:gradFill>
          </c:spPr>
          <c:invertIfNegative val="0"/>
          <c:cat>
            <c:strRef>
              <c:f>controler!$A$4:$A$17</c:f>
              <c:strCache>
                <c:ptCount val="13"/>
                <c:pt idx="0">
                  <c:v>Alimentação</c:v>
                </c:pt>
                <c:pt idx="1">
                  <c:v>Beleza</c:v>
                </c:pt>
                <c:pt idx="2">
                  <c:v>Educação</c:v>
                </c:pt>
                <c:pt idx="3">
                  <c:v>Eletrônicos</c:v>
                </c:pt>
                <c:pt idx="4">
                  <c:v>Gastronomia</c:v>
                </c:pt>
                <c:pt idx="5">
                  <c:v>Lazer</c:v>
                </c:pt>
                <c:pt idx="6">
                  <c:v>Pet Care</c:v>
                </c:pt>
                <c:pt idx="7">
                  <c:v>Saúde</c:v>
                </c:pt>
                <c:pt idx="8">
                  <c:v>Serviços</c:v>
                </c:pt>
                <c:pt idx="9">
                  <c:v>Transporte</c:v>
                </c:pt>
                <c:pt idx="10">
                  <c:v>Utilizades Domésticas</c:v>
                </c:pt>
                <c:pt idx="11">
                  <c:v>Vestuário</c:v>
                </c:pt>
                <c:pt idx="12">
                  <c:v>Viagem</c:v>
                </c:pt>
              </c:strCache>
            </c:strRef>
          </c:cat>
          <c:val>
            <c:numRef>
              <c:f>controler!$B$4:$B$17</c:f>
              <c:numCache>
                <c:formatCode>"R$"\ #,##0.00</c:formatCode>
                <c:ptCount val="13"/>
                <c:pt idx="0">
                  <c:v>1500</c:v>
                </c:pt>
                <c:pt idx="1">
                  <c:v>210</c:v>
                </c:pt>
                <c:pt idx="2">
                  <c:v>400</c:v>
                </c:pt>
                <c:pt idx="3">
                  <c:v>2200</c:v>
                </c:pt>
                <c:pt idx="4">
                  <c:v>600</c:v>
                </c:pt>
                <c:pt idx="5">
                  <c:v>550</c:v>
                </c:pt>
                <c:pt idx="6">
                  <c:v>240</c:v>
                </c:pt>
                <c:pt idx="7">
                  <c:v>1800</c:v>
                </c:pt>
                <c:pt idx="8">
                  <c:v>600</c:v>
                </c:pt>
                <c:pt idx="9">
                  <c:v>450</c:v>
                </c:pt>
                <c:pt idx="10">
                  <c:v>600</c:v>
                </c:pt>
                <c:pt idx="11">
                  <c:v>1900</c:v>
                </c:pt>
                <c:pt idx="12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4-4A6F-B927-26E8E7144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6540416"/>
        <c:axId val="146541952"/>
      </c:barChart>
      <c:catAx>
        <c:axId val="1465404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crossAx val="146541952"/>
        <c:crosses val="autoZero"/>
        <c:auto val="1"/>
        <c:lblAlgn val="ctr"/>
        <c:lblOffset val="100"/>
        <c:noMultiLvlLbl val="0"/>
      </c:catAx>
      <c:valAx>
        <c:axId val="146541952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ln w="9525">
            <a:noFill/>
          </a:ln>
        </c:spPr>
        <c:crossAx val="14654041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0"/>
    </a:effectLst>
  </c:spPr>
  <c:txPr>
    <a:bodyPr/>
    <a:lstStyle/>
    <a:p>
      <a:pPr>
        <a:defRPr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CAIXINHA!$A$16</c:f>
              <c:strCache>
                <c:ptCount val="1"/>
                <c:pt idx="0">
                  <c:v>Total reservado </c:v>
                </c:pt>
              </c:strCache>
            </c:strRef>
          </c:tx>
          <c:spPr>
            <a:gradFill>
              <a:gsLst>
                <a:gs pos="0">
                  <a:srgbClr val="FFF200"/>
                </a:gs>
                <a:gs pos="0">
                  <a:srgbClr val="FF7A00"/>
                </a:gs>
                <a:gs pos="70000">
                  <a:srgbClr val="FF0300"/>
                </a:gs>
                <a:gs pos="0">
                  <a:srgbClr val="4D0808"/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val>
            <c:numRef>
              <c:f>CAIXINHA!$B$16</c:f>
              <c:numCache>
                <c:formatCode>_("R$"* #,##0.00_);_("R$"* \(#,##0.00\);_("R$"* "-"??_);_(@_)</c:formatCode>
                <c:ptCount val="1"/>
                <c:pt idx="0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8-43B6-AAE2-585DA20DFBD2}"/>
            </c:ext>
          </c:extLst>
        </c:ser>
        <c:ser>
          <c:idx val="1"/>
          <c:order val="1"/>
          <c:tx>
            <c:strRef>
              <c:f>CAIXINHA!$A$17</c:f>
              <c:strCache>
                <c:ptCount val="1"/>
                <c:pt idx="0">
                  <c:v>Meta de Reserva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89000"/>
                  </a:schemeClr>
                </a:gs>
                <a:gs pos="23000">
                  <a:schemeClr val="accent6">
                    <a:lumMod val="89000"/>
                  </a:schemeClr>
                </a:gs>
                <a:gs pos="69000">
                  <a:schemeClr val="accent6">
                    <a:lumMod val="75000"/>
                  </a:schemeClr>
                </a:gs>
                <a:gs pos="97000">
                  <a:schemeClr val="accent6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c:spPr>
          <c:invertIfNegative val="0"/>
          <c:val>
            <c:numRef>
              <c:f>CAIXINHA!$B$17</c:f>
              <c:numCache>
                <c:formatCode>_("R$"* #,##0.00_);_("R$"* \(#,##0.00\);_("R$"* "-"??_);_(@_)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68-43B6-AAE2-585DA20DF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1882143"/>
        <c:axId val="1581882623"/>
      </c:barChart>
      <c:catAx>
        <c:axId val="158188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82623"/>
        <c:crosses val="autoZero"/>
        <c:auto val="1"/>
        <c:lblAlgn val="ctr"/>
        <c:lblOffset val="100"/>
        <c:noMultiLvlLbl val="0"/>
      </c:catAx>
      <c:valAx>
        <c:axId val="158188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8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CAIXINHA!$A$16</c:f>
              <c:strCache>
                <c:ptCount val="1"/>
                <c:pt idx="0">
                  <c:v>Total reservado 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CAIXINHA!$B$16</c:f>
              <c:numCache>
                <c:formatCode>_("R$"* #,##0.00_);_("R$"* \(#,##0.00\);_("R$"* "-"??_);_(@_)</c:formatCode>
                <c:ptCount val="1"/>
                <c:pt idx="0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9-4010-8C38-B42FB39929A6}"/>
            </c:ext>
          </c:extLst>
        </c:ser>
        <c:ser>
          <c:idx val="1"/>
          <c:order val="1"/>
          <c:tx>
            <c:strRef>
              <c:f>CAIXINHA!$A$17</c:f>
              <c:strCache>
                <c:ptCount val="1"/>
                <c:pt idx="0">
                  <c:v>Meta de Reserva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invertIfNegative val="0"/>
          <c:val>
            <c:numRef>
              <c:f>CAIXINHA!$B$17</c:f>
              <c:numCache>
                <c:formatCode>_("R$"* #,##0.00_);_("R$"* \(#,##0.00\);_("R$"* "-"??_);_(@_)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9-4010-8C38-B42FB3992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1882143"/>
        <c:axId val="1581882623"/>
      </c:barChart>
      <c:catAx>
        <c:axId val="158188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82623"/>
        <c:crosses val="autoZero"/>
        <c:auto val="1"/>
        <c:lblAlgn val="ctr"/>
        <c:lblOffset val="100"/>
        <c:noMultiLvlLbl val="0"/>
      </c:catAx>
      <c:valAx>
        <c:axId val="158188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88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jpeg"/><Relationship Id="rId3" Type="http://schemas.openxmlformats.org/officeDocument/2006/relationships/image" Target="../media/image1.png"/><Relationship Id="rId7" Type="http://schemas.openxmlformats.org/officeDocument/2006/relationships/hyperlink" Target="#DATA!A1"/><Relationship Id="rId12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svg"/><Relationship Id="rId11" Type="http://schemas.openxmlformats.org/officeDocument/2006/relationships/image" Target="../media/image8.sv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svg"/><Relationship Id="rId9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4</xdr:row>
      <xdr:rowOff>47626</xdr:rowOff>
    </xdr:from>
    <xdr:to>
      <xdr:col>8</xdr:col>
      <xdr:colOff>114300</xdr:colOff>
      <xdr:row>9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>
              <a:extLst>
                <a:ext uri="{FF2B5EF4-FFF2-40B4-BE49-F238E27FC236}">
                  <a16:creationId xmlns:a16="http://schemas.microsoft.com/office/drawing/2014/main" id="{0EC0FA96-C87B-A2E9-D3BC-34A1665DD3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809626"/>
              <a:ext cx="1828800" cy="108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5</xdr:row>
      <xdr:rowOff>180975</xdr:rowOff>
    </xdr:from>
    <xdr:to>
      <xdr:col>10</xdr:col>
      <xdr:colOff>542925</xdr:colOff>
      <xdr:row>20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226219</xdr:colOff>
      <xdr:row>5</xdr:row>
      <xdr:rowOff>178590</xdr:rowOff>
    </xdr:from>
    <xdr:to>
      <xdr:col>20</xdr:col>
      <xdr:colOff>369093</xdr:colOff>
      <xdr:row>9</xdr:row>
      <xdr:rowOff>23807</xdr:rowOff>
    </xdr:to>
    <xdr:sp macro="" textlink="">
      <xdr:nvSpPr>
        <xdr:cNvPr id="22" name="Retângulo: Cantos Superiores Arredondados 21">
          <a:extLst>
            <a:ext uri="{FF2B5EF4-FFF2-40B4-BE49-F238E27FC236}">
              <a16:creationId xmlns:a16="http://schemas.microsoft.com/office/drawing/2014/main" id="{0F0324C2-6D5E-28CF-449C-008086EEA21E}"/>
            </a:ext>
          </a:extLst>
        </xdr:cNvPr>
        <xdr:cNvSpPr/>
      </xdr:nvSpPr>
      <xdr:spPr>
        <a:xfrm rot="10800000">
          <a:off x="7655719" y="1131090"/>
          <a:ext cx="5607843" cy="607217"/>
        </a:xfrm>
        <a:prstGeom prst="round2SameRect">
          <a:avLst>
            <a:gd name="adj1" fmla="val 0"/>
            <a:gd name="adj2" fmla="val 50000"/>
          </a:avLst>
        </a:prstGeom>
        <a:gradFill>
          <a:gsLst>
            <a:gs pos="0">
              <a:schemeClr val="accent6">
                <a:lumMod val="75000"/>
              </a:schemeClr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pt-BR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178593</xdr:colOff>
      <xdr:row>26</xdr:row>
      <xdr:rowOff>166687</xdr:rowOff>
    </xdr:from>
    <xdr:to>
      <xdr:col>18</xdr:col>
      <xdr:colOff>488156</xdr:colOff>
      <xdr:row>29</xdr:row>
      <xdr:rowOff>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E332712E-29A1-6ABC-4230-FBC12EDB616E}"/>
            </a:ext>
          </a:extLst>
        </xdr:cNvPr>
        <xdr:cNvSpPr/>
      </xdr:nvSpPr>
      <xdr:spPr>
        <a:xfrm>
          <a:off x="1250156" y="5119687"/>
          <a:ext cx="10632281" cy="404813"/>
        </a:xfrm>
        <a:prstGeom prst="round2SameRect">
          <a:avLst/>
        </a:prstGeom>
        <a:gradFill>
          <a:gsLst>
            <a:gs pos="100000">
              <a:srgbClr val="FFF200"/>
            </a:gs>
            <a:gs pos="28000">
              <a:srgbClr val="FF7A00"/>
            </a:gs>
            <a:gs pos="83000">
              <a:srgbClr val="FF0300"/>
            </a:gs>
            <a:gs pos="100000">
              <a:srgbClr val="4D0808"/>
            </a:gs>
          </a:gsLst>
          <a:lin ang="54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</xdr:col>
      <xdr:colOff>130966</xdr:colOff>
      <xdr:row>5</xdr:row>
      <xdr:rowOff>130969</xdr:rowOff>
    </xdr:from>
    <xdr:to>
      <xdr:col>10</xdr:col>
      <xdr:colOff>428622</xdr:colOff>
      <xdr:row>25</xdr:row>
      <xdr:rowOff>71436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531156</xdr:colOff>
      <xdr:row>6</xdr:row>
      <xdr:rowOff>26128</xdr:rowOff>
    </xdr:from>
    <xdr:to>
      <xdr:col>9</xdr:col>
      <xdr:colOff>59531</xdr:colOff>
      <xdr:row>8</xdr:row>
      <xdr:rowOff>15156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495687" y="1169128"/>
          <a:ext cx="3778907" cy="3700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ES" sz="2400">
              <a:solidFill>
                <a:schemeClr val="bg1"/>
              </a:solidFill>
            </a:rPr>
            <a:t>              </a:t>
          </a:r>
          <a:r>
            <a:rPr lang="es-ES" sz="2400" b="1">
              <a:solidFill>
                <a:schemeClr val="bg1"/>
              </a:solidFill>
            </a:rPr>
            <a:t>ENTRADAS</a:t>
          </a:r>
        </a:p>
      </xdr:txBody>
    </xdr:sp>
    <xdr:clientData/>
  </xdr:twoCellAnchor>
  <xdr:twoCellAnchor>
    <xdr:from>
      <xdr:col>1</xdr:col>
      <xdr:colOff>166685</xdr:colOff>
      <xdr:row>26</xdr:row>
      <xdr:rowOff>119062</xdr:rowOff>
    </xdr:from>
    <xdr:to>
      <xdr:col>18</xdr:col>
      <xdr:colOff>488156</xdr:colOff>
      <xdr:row>41</xdr:row>
      <xdr:rowOff>47625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523998" y="5072062"/>
          <a:ext cx="10644189" cy="2786063"/>
          <a:chOff x="1262288" y="8328631"/>
          <a:chExt cx="10631044" cy="2190987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aphicFramePr>
            <a:graphicFrameLocks/>
          </xdr:cNvGraphicFramePr>
        </xdr:nvGraphicFramePr>
        <xdr:xfrm>
          <a:off x="1262288" y="8328631"/>
          <a:ext cx="10631044" cy="2190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2677305" y="8337700"/>
            <a:ext cx="7536657" cy="3018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2400" b="1" baseline="0">
                <a:solidFill>
                  <a:schemeClr val="bg1"/>
                </a:solidFill>
              </a:rPr>
              <a:t>GASTOS</a:t>
            </a:r>
            <a:r>
              <a:rPr lang="es-ES" sz="2400" baseline="0">
                <a:solidFill>
                  <a:schemeClr val="bg1"/>
                </a:solidFill>
              </a:rPr>
              <a:t> </a:t>
            </a:r>
            <a:endParaRPr lang="es-ES" sz="24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8</xdr:col>
      <xdr:colOff>2</xdr:colOff>
      <xdr:row>5</xdr:row>
      <xdr:rowOff>95249</xdr:rowOff>
    </xdr:from>
    <xdr:to>
      <xdr:col>9</xdr:col>
      <xdr:colOff>95250</xdr:colOff>
      <xdr:row>9</xdr:row>
      <xdr:rowOff>35716</xdr:rowOff>
    </xdr:to>
    <xdr:pic>
      <xdr:nvPicPr>
        <xdr:cNvPr id="7" name="Gráfico 6" descr="Transferência1 com preenchimento sólido">
          <a:extLst>
            <a:ext uri="{FF2B5EF4-FFF2-40B4-BE49-F238E27FC236}">
              <a16:creationId xmlns:a16="http://schemas.microsoft.com/office/drawing/2014/main" id="{9032CB0F-2508-71B8-8464-6125540E0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07846" y="1047749"/>
          <a:ext cx="702467" cy="702467"/>
        </a:xfrm>
        <a:prstGeom prst="rect">
          <a:avLst/>
        </a:prstGeom>
      </xdr:spPr>
    </xdr:pic>
    <xdr:clientData/>
  </xdr:twoCellAnchor>
  <xdr:twoCellAnchor editAs="oneCell">
    <xdr:from>
      <xdr:col>11</xdr:col>
      <xdr:colOff>351621</xdr:colOff>
      <xdr:row>26</xdr:row>
      <xdr:rowOff>188246</xdr:rowOff>
    </xdr:from>
    <xdr:to>
      <xdr:col>12</xdr:col>
      <xdr:colOff>127045</xdr:colOff>
      <xdr:row>28</xdr:row>
      <xdr:rowOff>189889</xdr:rowOff>
    </xdr:to>
    <xdr:pic>
      <xdr:nvPicPr>
        <xdr:cNvPr id="17" name="Gráfico 16" descr="Dinheiro voador com preenchimento sólido">
          <a:extLst>
            <a:ext uri="{FF2B5EF4-FFF2-40B4-BE49-F238E27FC236}">
              <a16:creationId xmlns:a16="http://schemas.microsoft.com/office/drawing/2014/main" id="{B61E9058-4C9D-7054-2287-5FEA35FFA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584832">
          <a:off x="7781121" y="5141246"/>
          <a:ext cx="382643" cy="382643"/>
        </a:xfrm>
        <a:prstGeom prst="rect">
          <a:avLst/>
        </a:prstGeom>
      </xdr:spPr>
    </xdr:pic>
    <xdr:clientData/>
  </xdr:twoCellAnchor>
  <xdr:twoCellAnchor>
    <xdr:from>
      <xdr:col>4</xdr:col>
      <xdr:colOff>178595</xdr:colOff>
      <xdr:row>1</xdr:row>
      <xdr:rowOff>47624</xdr:rowOff>
    </xdr:from>
    <xdr:to>
      <xdr:col>9</xdr:col>
      <xdr:colOff>59531</xdr:colOff>
      <xdr:row>2</xdr:row>
      <xdr:rowOff>154781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5D3B4A4-8C2D-44F1-8A21-FE2D3D78BFAC}"/>
            </a:ext>
          </a:extLst>
        </xdr:cNvPr>
        <xdr:cNvSpPr txBox="1"/>
      </xdr:nvSpPr>
      <xdr:spPr>
        <a:xfrm>
          <a:off x="3357564" y="238124"/>
          <a:ext cx="2917030" cy="297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kern="1200">
              <a:solidFill>
                <a:srgbClr val="FF3300"/>
              </a:solidFill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 DETALHAMENTO</a:t>
          </a:r>
          <a:r>
            <a:rPr lang="pt-BR" sz="1400" kern="1200" baseline="0">
              <a:solidFill>
                <a:srgbClr val="FF3300"/>
              </a:solidFill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 DE FINANÇAS</a:t>
          </a:r>
          <a:endParaRPr lang="pt-BR" sz="1400" kern="1200">
            <a:solidFill>
              <a:srgbClr val="FF3300"/>
            </a:solidFill>
            <a:latin typeface="ADLaM Display" panose="020F0502020204030204" pitchFamily="2" charset="0"/>
            <a:ea typeface="ADLaM Display" panose="020F0502020204030204" pitchFamily="2" charset="0"/>
            <a:cs typeface="ADLaM Display" panose="020F0502020204030204" pitchFamily="2" charset="0"/>
          </a:endParaRPr>
        </a:p>
      </xdr:txBody>
    </xdr:sp>
    <xdr:clientData/>
  </xdr:twoCellAnchor>
  <xdr:twoCellAnchor>
    <xdr:from>
      <xdr:col>10</xdr:col>
      <xdr:colOff>154781</xdr:colOff>
      <xdr:row>1</xdr:row>
      <xdr:rowOff>107156</xdr:rowOff>
    </xdr:from>
    <xdr:to>
      <xdr:col>15</xdr:col>
      <xdr:colOff>59531</xdr:colOff>
      <xdr:row>3</xdr:row>
      <xdr:rowOff>0</xdr:rowOff>
    </xdr:to>
    <xdr:sp macro="" textlink="">
      <xdr:nvSpPr>
        <xdr:cNvPr id="26" name="CaixaDeTexto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908AB41-D8C6-9A1F-3B65-B2F91249ACE0}"/>
            </a:ext>
          </a:extLst>
        </xdr:cNvPr>
        <xdr:cNvSpPr txBox="1"/>
      </xdr:nvSpPr>
      <xdr:spPr>
        <a:xfrm>
          <a:off x="6977062" y="297656"/>
          <a:ext cx="2940844" cy="2738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 kern="1200"/>
        </a:p>
      </xdr:txBody>
    </xdr:sp>
    <xdr:clientData/>
  </xdr:twoCellAnchor>
  <xdr:twoCellAnchor editAs="oneCell">
    <xdr:from>
      <xdr:col>14</xdr:col>
      <xdr:colOff>309563</xdr:colOff>
      <xdr:row>1</xdr:row>
      <xdr:rowOff>119063</xdr:rowOff>
    </xdr:from>
    <xdr:to>
      <xdr:col>14</xdr:col>
      <xdr:colOff>595313</xdr:colOff>
      <xdr:row>3</xdr:row>
      <xdr:rowOff>23813</xdr:rowOff>
    </xdr:to>
    <xdr:pic>
      <xdr:nvPicPr>
        <xdr:cNvPr id="28" name="Gráfico 27" descr="Lupa com preenchimento sólido">
          <a:extLst>
            <a:ext uri="{FF2B5EF4-FFF2-40B4-BE49-F238E27FC236}">
              <a16:creationId xmlns:a16="http://schemas.microsoft.com/office/drawing/2014/main" id="{45B99ECB-C700-CAAB-E45F-80D483D56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560719" y="309563"/>
          <a:ext cx="285750" cy="28575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6</xdr:row>
      <xdr:rowOff>95250</xdr:rowOff>
    </xdr:from>
    <xdr:to>
      <xdr:col>19</xdr:col>
      <xdr:colOff>230845</xdr:colOff>
      <xdr:row>8</xdr:row>
      <xdr:rowOff>84278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69424F70-FA63-4763-B13A-C567E7E05120}"/>
            </a:ext>
          </a:extLst>
        </xdr:cNvPr>
        <xdr:cNvSpPr txBox="1"/>
      </xdr:nvSpPr>
      <xdr:spPr>
        <a:xfrm>
          <a:off x="8739188" y="1238250"/>
          <a:ext cx="3778907" cy="3700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ES" sz="2400">
              <a:solidFill>
                <a:schemeClr val="bg1"/>
              </a:solidFill>
            </a:rPr>
            <a:t>              </a:t>
          </a:r>
          <a:r>
            <a:rPr lang="es-ES" sz="2400" b="1">
              <a:solidFill>
                <a:schemeClr val="bg1"/>
              </a:solidFill>
            </a:rPr>
            <a:t>ECONOMIAS</a:t>
          </a:r>
        </a:p>
      </xdr:txBody>
    </xdr:sp>
    <xdr:clientData/>
  </xdr:twoCellAnchor>
  <xdr:twoCellAnchor editAs="oneCell">
    <xdr:from>
      <xdr:col>13</xdr:col>
      <xdr:colOff>107156</xdr:colOff>
      <xdr:row>5</xdr:row>
      <xdr:rowOff>107156</xdr:rowOff>
    </xdr:from>
    <xdr:to>
      <xdr:col>14</xdr:col>
      <xdr:colOff>214313</xdr:colOff>
      <xdr:row>9</xdr:row>
      <xdr:rowOff>59531</xdr:rowOff>
    </xdr:to>
    <xdr:pic>
      <xdr:nvPicPr>
        <xdr:cNvPr id="42" name="Gráfico 41" descr="Cofrinho estrutura de tópicos">
          <a:extLst>
            <a:ext uri="{FF2B5EF4-FFF2-40B4-BE49-F238E27FC236}">
              <a16:creationId xmlns:a16="http://schemas.microsoft.com/office/drawing/2014/main" id="{12A255C4-9079-5911-AC8B-1BB02C98A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751094" y="1059656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0</xdr:col>
      <xdr:colOff>59531</xdr:colOff>
      <xdr:row>5</xdr:row>
      <xdr:rowOff>23812</xdr:rowOff>
    </xdr:from>
    <xdr:to>
      <xdr:col>0</xdr:col>
      <xdr:colOff>1285875</xdr:colOff>
      <xdr:row>11</xdr:row>
      <xdr:rowOff>47624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Mês 1">
              <a:extLst>
                <a:ext uri="{FF2B5EF4-FFF2-40B4-BE49-F238E27FC236}">
                  <a16:creationId xmlns:a16="http://schemas.microsoft.com/office/drawing/2014/main" id="{9CDFB00A-4718-4E04-B6B4-04D5348D1F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31" y="976312"/>
              <a:ext cx="1226344" cy="11668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202406</xdr:colOff>
      <xdr:row>5</xdr:row>
      <xdr:rowOff>142875</xdr:rowOff>
    </xdr:from>
    <xdr:to>
      <xdr:col>20</xdr:col>
      <xdr:colOff>404813</xdr:colOff>
      <xdr:row>25</xdr:row>
      <xdr:rowOff>35719</xdr:rowOff>
    </xdr:to>
    <xdr:sp macro="" textlink="">
      <xdr:nvSpPr>
        <xdr:cNvPr id="14" name="Retângulo: Cantos Superiores Arredondados 13">
          <a:extLst>
            <a:ext uri="{FF2B5EF4-FFF2-40B4-BE49-F238E27FC236}">
              <a16:creationId xmlns:a16="http://schemas.microsoft.com/office/drawing/2014/main" id="{8A747733-1EAB-E7A1-5273-92A94225B1E4}"/>
            </a:ext>
          </a:extLst>
        </xdr:cNvPr>
        <xdr:cNvSpPr/>
      </xdr:nvSpPr>
      <xdr:spPr>
        <a:xfrm>
          <a:off x="7631906" y="1095375"/>
          <a:ext cx="5667376" cy="3702844"/>
        </a:xfrm>
        <a:prstGeom prst="round2SameRect">
          <a:avLst>
            <a:gd name="adj1" fmla="val 8307"/>
            <a:gd name="adj2" fmla="val 8861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11</xdr:col>
      <xdr:colOff>440531</xdr:colOff>
      <xdr:row>10</xdr:row>
      <xdr:rowOff>71438</xdr:rowOff>
    </xdr:from>
    <xdr:to>
      <xdr:col>19</xdr:col>
      <xdr:colOff>154781</xdr:colOff>
      <xdr:row>24</xdr:row>
      <xdr:rowOff>147638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C9D4D5F0-83D7-44B4-8EAA-1967AD4EA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458390</xdr:colOff>
      <xdr:row>0</xdr:row>
      <xdr:rowOff>83344</xdr:rowOff>
    </xdr:from>
    <xdr:to>
      <xdr:col>3</xdr:col>
      <xdr:colOff>511969</xdr:colOff>
      <xdr:row>4</xdr:row>
      <xdr:rowOff>166688</xdr:rowOff>
    </xdr:to>
    <xdr:pic>
      <xdr:nvPicPr>
        <xdr:cNvPr id="40" name="Imagem 39" descr="A mão da mulher e o dinheiro brasileiro — Foto © cifotart #68803535">
          <a:extLst>
            <a:ext uri="{FF2B5EF4-FFF2-40B4-BE49-F238E27FC236}">
              <a16:creationId xmlns:a16="http://schemas.microsoft.com/office/drawing/2014/main" id="{33E3E204-AEC0-4D8E-AF25-5BD153C0C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703" y="83344"/>
          <a:ext cx="1268016" cy="84534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0.00521</cdr:x>
      <cdr:y>0</cdr:y>
    </cdr:from>
    <cdr:to>
      <cdr:x>1</cdr:x>
      <cdr:y>0.98958</cdr:y>
    </cdr:to>
    <cdr:grpSp>
      <cdr:nvGrpSpPr>
        <cdr:cNvPr id="10" name="Grupo 9">
          <a:extLst xmlns:a="http://schemas.openxmlformats.org/drawingml/2006/main">
            <a:ext uri="{FF2B5EF4-FFF2-40B4-BE49-F238E27FC236}">
              <a16:creationId xmlns:a16="http://schemas.microsoft.com/office/drawing/2014/main" id="{42548EA7-5E28-7B01-4EE9-17FADEEB8189}"/>
            </a:ext>
          </a:extLst>
        </cdr:cNvPr>
        <cdr:cNvGrpSpPr/>
      </cdr:nvGrpSpPr>
      <cdr:grpSpPr>
        <a:xfrm xmlns:a="http://schemas.openxmlformats.org/drawingml/2006/main">
          <a:off x="30023" y="0"/>
          <a:ext cx="5732601" cy="3711387"/>
          <a:chOff x="0" y="0"/>
          <a:chExt cx="5685233" cy="3452192"/>
        </a:xfrm>
      </cdr:grpSpPr>
      <cdr:sp macro="" textlink="">
        <cdr:nvSpPr>
          <cdr:cNvPr id="2" name="Retângulo de cantos arredondados 1"/>
          <cdr:cNvSpPr/>
        </cdr:nvSpPr>
        <cdr:spPr>
          <a:xfrm xmlns:a="http://schemas.openxmlformats.org/drawingml/2006/main">
            <a:off x="0" y="0"/>
            <a:ext cx="5685233" cy="3452192"/>
          </a:xfrm>
          <a:prstGeom xmlns:a="http://schemas.openxmlformats.org/drawingml/2006/main" prst="roundRect">
            <a:avLst/>
          </a:prstGeom>
          <a:noFill xmlns:a="http://schemas.openxmlformats.org/drawingml/2006/main"/>
          <a:ln xmlns:a="http://schemas.openxmlformats.org/drawingml/2006/main">
            <a:solidFill>
              <a:schemeClr val="bg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s-ES"/>
          </a:p>
        </cdr:txBody>
      </cdr:sp>
    </cdr:grpSp>
  </cdr:relSizeAnchor>
  <cdr:relSizeAnchor xmlns:cdr="http://schemas.openxmlformats.org/drawingml/2006/chartDrawing">
    <cdr:from>
      <cdr:x>0</cdr:x>
      <cdr:y>5.94593E-5</cdr:y>
    </cdr:from>
    <cdr:to>
      <cdr:x>1</cdr:x>
      <cdr:y>0.14286</cdr:y>
    </cdr:to>
    <cdr:sp macro="" textlink="">
      <cdr:nvSpPr>
        <cdr:cNvPr id="6" name="Retângulo: Cantos Superiores Arredondados 5">
          <a:extLst xmlns:a="http://schemas.openxmlformats.org/drawingml/2006/main">
            <a:ext uri="{FF2B5EF4-FFF2-40B4-BE49-F238E27FC236}">
              <a16:creationId xmlns:a16="http://schemas.microsoft.com/office/drawing/2014/main" id="{EC72161E-1655-40D0-1B75-862224A10E45}"/>
            </a:ext>
          </a:extLst>
        </cdr:cNvPr>
        <cdr:cNvSpPr/>
      </cdr:nvSpPr>
      <cdr:spPr>
        <a:xfrm xmlns:a="http://schemas.openxmlformats.org/drawingml/2006/main" rot="10800000">
          <a:off x="0" y="223"/>
          <a:ext cx="5762624" cy="535557"/>
        </a:xfrm>
        <a:prstGeom xmlns:a="http://schemas.openxmlformats.org/drawingml/2006/main" prst="round2SameRect">
          <a:avLst>
            <a:gd name="adj1" fmla="val 0"/>
            <a:gd name="adj2" fmla="val 50000"/>
          </a:avLst>
        </a:prstGeom>
        <a:gradFill xmlns:a="http://schemas.openxmlformats.org/drawingml/2006/main">
          <a:gsLst>
            <a:gs pos="0">
              <a:schemeClr val="accent6">
                <a:lumMod val="75000"/>
              </a:schemeClr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</a:gra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 kern="1200">
            <a:solidFill>
              <a:srgbClr val="FF0000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0.00112</cdr:x>
      <cdr:y>0</cdr:y>
    </cdr:from>
    <cdr:to>
      <cdr:x>1</cdr:x>
      <cdr:y>1</cdr:y>
    </cdr:to>
    <cdr:sp macro="" textlink="">
      <cdr:nvSpPr>
        <cdr:cNvPr id="4" name="Retângulo de cantos arredondados 3"/>
        <cdr:cNvSpPr/>
      </cdr:nvSpPr>
      <cdr:spPr>
        <a:xfrm xmlns:a="http://schemas.openxmlformats.org/drawingml/2006/main">
          <a:off x="11987" y="0"/>
          <a:ext cx="10691732" cy="2771342"/>
        </a:xfrm>
        <a:prstGeom xmlns:a="http://schemas.openxmlformats.org/drawingml/2006/main" prst="roundRect">
          <a:avLst>
            <a:gd name="adj" fmla="val 4935"/>
          </a:avLst>
        </a:prstGeom>
        <a:noFill xmlns:a="http://schemas.openxmlformats.org/drawingml/2006/main"/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9525</xdr:rowOff>
    </xdr:from>
    <xdr:to>
      <xdr:col>14</xdr:col>
      <xdr:colOff>600075</xdr:colOff>
      <xdr:row>1</xdr:row>
      <xdr:rowOff>161925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D0283A2-9CF9-1A7D-C411-67C6A4ABAC79}"/>
            </a:ext>
          </a:extLst>
        </xdr:cNvPr>
        <xdr:cNvSpPr/>
      </xdr:nvSpPr>
      <xdr:spPr>
        <a:xfrm>
          <a:off x="19050" y="9525"/>
          <a:ext cx="9115425" cy="342900"/>
        </a:xfrm>
        <a:prstGeom prst="rect">
          <a:avLst/>
        </a:prstGeom>
        <a:gradFill>
          <a:gsLst>
            <a:gs pos="0">
              <a:schemeClr val="accent6">
                <a:lumMod val="75000"/>
              </a:schemeClr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3</xdr:col>
      <xdr:colOff>9525</xdr:colOff>
      <xdr:row>7</xdr:row>
      <xdr:rowOff>185737</xdr:rowOff>
    </xdr:from>
    <xdr:to>
      <xdr:col>10</xdr:col>
      <xdr:colOff>314325</xdr:colOff>
      <xdr:row>22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55C91FC-8DF5-E9A0-71B7-562C489ED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richPivotRecords" Target="richPivot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Zania SQ" refreshedDate="45636.836341782408" createdVersion="4" refreshedVersion="8" minRefreshableVersion="3" recordCount="41" xr:uid="{00000000-000A-0000-FFFF-FFFF08000000}">
  <cacheSource type="worksheet">
    <worksheetSource name="TBL"/>
  </cacheSource>
  <cacheFields count="8">
    <cacheField name="Data" numFmtId="14">
      <sharedItems containsSemiMixedTypes="0" containsNonDate="0" containsDate="1" containsString="0" minDate="2024-10-04T00:00:00" maxDate="2024-12-21T00:00:00"/>
    </cacheField>
    <cacheField name="Mês" numFmtId="0">
      <sharedItems containsMixedTypes="1" containsNumber="1" containsInteger="1" minValue="1.0774416932313815E-288" maxValue="1.2826685332963003E-288" count="4">
        <s v="#DESPEJAR!"/>
        <n v="10"/>
        <n v="11"/>
        <n v="12"/>
      </sharedItems>
    </cacheField>
    <cacheField name="Tipo" numFmtId="0">
      <sharedItems count="2">
        <s v="Entrada"/>
        <s v="Saída"/>
      </sharedItems>
    </cacheField>
    <cacheField name="Categoria" numFmtId="0">
      <sharedItems count="15">
        <s v="Renda Fixa"/>
        <s v="Alimentação"/>
        <s v="Transporte"/>
        <s v="Lazer"/>
        <s v="Saúde"/>
        <s v="Educação"/>
        <s v="Vestuário"/>
        <s v="Serviços"/>
        <s v="Eletrônicos"/>
        <s v="Beleza"/>
        <s v="Pet Care"/>
        <s v="Viagem"/>
        <s v="Gastronomia"/>
        <s v="Utilizades Domésticas"/>
        <s v="Investimento"/>
      </sharedItems>
    </cacheField>
    <cacheField name="Descrição" numFmtId="0">
      <sharedItems/>
    </cacheField>
    <cacheField name="Valor" numFmtId="0">
      <sharedItems containsSemiMixedTypes="0" containsString="0" containsNumber="1" containsInteger="1" minValue="70" maxValue="5000"/>
    </cacheField>
    <cacheField name="Operação Bancária " numFmtId="0">
      <sharedItems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 pivotCacheId="1635063907"/>
    </ext>
    <ext xmlns:xxpvi="http://schemas.microsoft.com/office/spreadsheetml/2022/pivotVersionInfo" uri="{9F748A41-CAEA-4470-BF7A-CE61E8FFA7F9}">
      <xxpvi:cacheVersionInfo>
        <xxpvi:lastRefreshFeature>RichData</xxpvi:lastRefreshFeature>
      </xxpvi:cacheVersionInfo>
    </ext>
    <ext xmlns:xprd="http://schemas.microsoft.com/office/spreadsheetml/2022/pivotRichData" uri="{2C874A73-7782-4A18-856F-96AC7E287872}">
      <xprd:richInfo pivotCacheGuid="{00000000-000A-0000-FFFF-FFFF08000000}" pivotIgnoreInvalidCache="1" r:id="rId1"/>
    </ext>
  </extLst>
</pivotCacheDefinition>
</file>

<file path=xl/pivotCache/richPivot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d v="2024-10-05T00:00:00"/>
    <x v="0"/>
    <x v="0"/>
    <x v="0"/>
    <s v="Salário Mensal"/>
    <n v="5000"/>
    <s v="Transferência"/>
    <s v="Recebido"/>
  </r>
  <r>
    <d v="2024-10-06T00:00:00"/>
    <x v="1"/>
    <x v="1"/>
    <x v="1"/>
    <s v="Compras Mercado"/>
    <n v="500"/>
    <s v="Débito Automático"/>
    <s v="Pendente"/>
  </r>
  <r>
    <d v="2024-10-06T00:00:00"/>
    <x v="1"/>
    <x v="1"/>
    <x v="2"/>
    <s v="Gasolina"/>
    <n v="150"/>
    <s v="Cartão de Crédito"/>
    <s v="Pago"/>
  </r>
  <r>
    <d v="2024-10-10T00:00:00"/>
    <x v="1"/>
    <x v="1"/>
    <x v="3"/>
    <s v="Cinema"/>
    <n v="100"/>
    <s v="Cartão de Crédito"/>
    <s v="Pago"/>
  </r>
  <r>
    <d v="2024-10-15T00:00:00"/>
    <x v="1"/>
    <x v="1"/>
    <x v="4"/>
    <s v="Consulta odontológica"/>
    <n v="200"/>
    <s v="Débito Automático"/>
    <s v="Pendente"/>
  </r>
  <r>
    <d v="2024-10-06T00:00:00"/>
    <x v="1"/>
    <x v="1"/>
    <x v="5"/>
    <s v="Material escolar"/>
    <n v="400"/>
    <s v="Cartão de Crédito"/>
    <s v="Pago"/>
  </r>
  <r>
    <d v="2024-10-20T00:00:00"/>
    <x v="1"/>
    <x v="1"/>
    <x v="6"/>
    <s v="Compra de roupas"/>
    <n v="600"/>
    <s v="Cartão de Crédito"/>
    <s v="Pago"/>
  </r>
  <r>
    <d v="2024-10-18T00:00:00"/>
    <x v="1"/>
    <x v="1"/>
    <x v="7"/>
    <s v="Limpeza de apartamento"/>
    <n v="200"/>
    <s v="Transferência"/>
    <s v="Pago"/>
  </r>
  <r>
    <d v="2024-10-25T00:00:00"/>
    <x v="1"/>
    <x v="1"/>
    <x v="8"/>
    <s v="Compra de novo celular"/>
    <n v="1200"/>
    <s v="Cartão de Crédito"/>
    <s v="Pago"/>
  </r>
  <r>
    <d v="2024-10-04T00:00:00"/>
    <x v="1"/>
    <x v="1"/>
    <x v="9"/>
    <s v="Corte de cabelo"/>
    <n v="70"/>
    <s v="Transferência"/>
    <s v="Pendente"/>
  </r>
  <r>
    <d v="2024-10-10T00:00:00"/>
    <x v="1"/>
    <x v="1"/>
    <x v="10"/>
    <s v="Ração"/>
    <n v="80"/>
    <s v="Transferência"/>
    <s v="Pendente"/>
  </r>
  <r>
    <d v="2024-10-18T00:00:00"/>
    <x v="1"/>
    <x v="1"/>
    <x v="11"/>
    <s v="Reserva de Pousada"/>
    <n v="1000"/>
    <s v="Cartão de Crédito"/>
    <s v="Pago"/>
  </r>
  <r>
    <d v="2024-10-08T00:00:00"/>
    <x v="1"/>
    <x v="1"/>
    <x v="12"/>
    <s v="Jantar em restaurante"/>
    <n v="200"/>
    <s v="Transferência"/>
    <s v="Pago"/>
  </r>
  <r>
    <d v="2024-10-30T00:00:00"/>
    <x v="1"/>
    <x v="1"/>
    <x v="13"/>
    <s v="Reparos Domésticos"/>
    <n v="400"/>
    <s v="Cartão de Crédito"/>
    <s v="Pago"/>
  </r>
  <r>
    <d v="2024-10-06T00:00:00"/>
    <x v="0"/>
    <x v="0"/>
    <x v="14"/>
    <s v="Dividendendo em ações"/>
    <n v="800"/>
    <s v="Cartão de Crédito"/>
    <s v="Pago"/>
  </r>
  <r>
    <d v="2024-11-05T00:00:00"/>
    <x v="0"/>
    <x v="0"/>
    <x v="0"/>
    <s v="Salário Mensal"/>
    <n v="5000"/>
    <s v="Transferência"/>
    <s v="Recebido"/>
  </r>
  <r>
    <d v="2024-11-06T00:00:00"/>
    <x v="2"/>
    <x v="1"/>
    <x v="1"/>
    <s v="Compras Mercado"/>
    <n v="500"/>
    <s v="Débito Automático"/>
    <s v="Pendente"/>
  </r>
  <r>
    <d v="2024-11-06T00:00:00"/>
    <x v="2"/>
    <x v="1"/>
    <x v="2"/>
    <s v="Gasolina"/>
    <n v="150"/>
    <s v="Cartão de Crédito"/>
    <s v="Pago"/>
  </r>
  <r>
    <d v="2024-11-15T00:00:00"/>
    <x v="2"/>
    <x v="1"/>
    <x v="3"/>
    <s v="Cinema"/>
    <n v="100"/>
    <s v="Cartão de Crédito"/>
    <s v="Pago"/>
  </r>
  <r>
    <d v="2024-11-06T00:00:00"/>
    <x v="2"/>
    <x v="1"/>
    <x v="4"/>
    <s v="Plano de Saúde"/>
    <n v="800"/>
    <s v="Débito Automático"/>
    <s v="Pendente"/>
  </r>
  <r>
    <d v="2024-11-20T00:00:00"/>
    <x v="2"/>
    <x v="1"/>
    <x v="6"/>
    <s v="Compra de roupas"/>
    <n v="300"/>
    <s v="Cartão de Crédito"/>
    <s v="Pago"/>
  </r>
  <r>
    <d v="2024-11-18T00:00:00"/>
    <x v="2"/>
    <x v="1"/>
    <x v="7"/>
    <s v="Limpeza de apartamento"/>
    <n v="200"/>
    <s v="Transferência"/>
    <s v="Pago"/>
  </r>
  <r>
    <d v="2024-11-18T00:00:00"/>
    <x v="2"/>
    <x v="1"/>
    <x v="8"/>
    <s v="Equipamentos"/>
    <n v="1000"/>
    <s v="Cartão de Crédito"/>
    <s v="Pago"/>
  </r>
  <r>
    <d v="2024-11-05T00:00:00"/>
    <x v="2"/>
    <x v="1"/>
    <x v="9"/>
    <s v="Corte de cabelo"/>
    <n v="70"/>
    <s v="Transferência"/>
    <s v="Pendente"/>
  </r>
  <r>
    <d v="2024-11-15T00:00:00"/>
    <x v="2"/>
    <x v="1"/>
    <x v="10"/>
    <s v="Ração"/>
    <n v="80"/>
    <s v="Transferência"/>
    <s v="Pendente"/>
  </r>
  <r>
    <d v="2024-11-02T00:00:00"/>
    <x v="2"/>
    <x v="1"/>
    <x v="11"/>
    <s v="Passagem "/>
    <n v="300"/>
    <s v="Cartão de Crédito"/>
    <s v="Pago"/>
  </r>
  <r>
    <d v="2024-11-23T00:00:00"/>
    <x v="2"/>
    <x v="1"/>
    <x v="12"/>
    <s v="Jantar em restaurante"/>
    <n v="200"/>
    <s v="Transferência"/>
    <s v="Pago"/>
  </r>
  <r>
    <d v="2024-11-30T00:00:00"/>
    <x v="2"/>
    <x v="1"/>
    <x v="13"/>
    <s v="Reparos Domésticos"/>
    <n v="200"/>
    <s v="Cartão de Crédito"/>
    <s v="Pago"/>
  </r>
  <r>
    <d v="2024-11-10T00:00:00"/>
    <x v="0"/>
    <x v="0"/>
    <x v="14"/>
    <s v="Dividendendo emações"/>
    <n v="800"/>
    <s v="Cartão de Crédito"/>
    <s v="Pago"/>
  </r>
  <r>
    <d v="2024-12-05T00:00:00"/>
    <x v="0"/>
    <x v="0"/>
    <x v="0"/>
    <s v="Pagamento de Projeto"/>
    <n v="3000"/>
    <s v="Transferência"/>
    <s v="Recebido"/>
  </r>
  <r>
    <d v="2024-12-05T00:00:00"/>
    <x v="0"/>
    <x v="0"/>
    <x v="0"/>
    <s v="Salário Mensal"/>
    <n v="5000"/>
    <s v="Transferência"/>
    <s v="Recebido"/>
  </r>
  <r>
    <d v="2024-12-06T00:00:00"/>
    <x v="3"/>
    <x v="1"/>
    <x v="1"/>
    <s v="Compras Mercado"/>
    <n v="500"/>
    <s v="Débito Automático"/>
    <s v="Pendente"/>
  </r>
  <r>
    <d v="2024-12-06T00:00:00"/>
    <x v="3"/>
    <x v="1"/>
    <x v="2"/>
    <s v="Gasolina"/>
    <n v="150"/>
    <s v="Cartão de Crédito"/>
    <s v="Pago"/>
  </r>
  <r>
    <d v="2024-12-20T00:00:00"/>
    <x v="3"/>
    <x v="1"/>
    <x v="3"/>
    <s v="Cinema"/>
    <n v="100"/>
    <s v="Cartão de Crédito"/>
    <s v="Pago"/>
  </r>
  <r>
    <d v="2024-12-06T00:00:00"/>
    <x v="3"/>
    <x v="1"/>
    <x v="4"/>
    <s v="Plano de Saúde"/>
    <n v="800"/>
    <s v="Débito Automático"/>
    <s v="Pendente"/>
  </r>
  <r>
    <d v="2024-12-18T00:00:00"/>
    <x v="3"/>
    <x v="1"/>
    <x v="6"/>
    <s v="Compra de roupas"/>
    <n v="1000"/>
    <s v="Cartão de Crédito"/>
    <s v="Pago"/>
  </r>
  <r>
    <d v="2024-12-08T00:00:00"/>
    <x v="3"/>
    <x v="1"/>
    <x v="7"/>
    <s v="Limpeza de apartamento"/>
    <n v="200"/>
    <s v="Transferência"/>
    <s v="Pago"/>
  </r>
  <r>
    <d v="2024-12-08T00:00:00"/>
    <x v="3"/>
    <x v="1"/>
    <x v="9"/>
    <s v="Corte de cabelo"/>
    <n v="70"/>
    <s v="Transferência"/>
    <s v="Pendente"/>
  </r>
  <r>
    <d v="2024-12-15T00:00:00"/>
    <x v="3"/>
    <x v="1"/>
    <x v="10"/>
    <s v="Ração"/>
    <n v="80"/>
    <s v="Transferência"/>
    <s v="Pendente"/>
  </r>
  <r>
    <d v="2024-12-20T00:00:00"/>
    <x v="3"/>
    <x v="1"/>
    <x v="12"/>
    <s v="Jantar em restaurante"/>
    <n v="200"/>
    <s v="Transferência"/>
    <s v="Pago"/>
  </r>
  <r>
    <d v="2024-12-20T00:00:00"/>
    <x v="3"/>
    <x v="1"/>
    <x v="3"/>
    <s v="Presente de Natal"/>
    <n v="250"/>
    <s v="Cartão de Crédito"/>
    <s v="Pag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9">
  <location ref="A3:B17" firstHeaderRow="1" firstDataRow="1" firstDataCol="1" rowPageCount="1" colPageCount="1"/>
  <pivotFields count="8">
    <pivotField numFmtId="14" showAll="0"/>
    <pivotField showAll="0">
      <items count="5">
        <item x="1"/>
        <item x="2"/>
        <item x="3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6">
        <item x="1"/>
        <item x="9"/>
        <item x="5"/>
        <item x="8"/>
        <item x="12"/>
        <item x="14"/>
        <item x="3"/>
        <item x="10"/>
        <item x="0"/>
        <item x="4"/>
        <item x="7"/>
        <item x="2"/>
        <item x="13"/>
        <item x="6"/>
        <item x="11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14">
    <i>
      <x/>
    </i>
    <i>
      <x v="1"/>
    </i>
    <i>
      <x v="2"/>
    </i>
    <i>
      <x v="3"/>
    </i>
    <i>
      <x v="4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2" item="1" hier="-1"/>
  </pageFields>
  <dataFields count="1">
    <dataField name="Soma de Valor" fld="5" baseField="2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23">
  <location ref="A3:B6" firstHeaderRow="1" firstDataRow="1" firstDataCol="1" rowPageCount="1" colPageCount="1"/>
  <pivotFields count="8">
    <pivotField numFmtId="14" showAll="0"/>
    <pivotField showAll="0">
      <items count="5">
        <item x="1"/>
        <item h="1" x="2"/>
        <item h="1" x="3"/>
        <item h="1"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6">
        <item x="1"/>
        <item x="9"/>
        <item x="5"/>
        <item x="8"/>
        <item x="12"/>
        <item x="14"/>
        <item x="3"/>
        <item x="10"/>
        <item x="0"/>
        <item x="4"/>
        <item x="7"/>
        <item x="2"/>
        <item x="13"/>
        <item x="6"/>
        <item x="11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3">
    <i>
      <x v="5"/>
    </i>
    <i>
      <x v="8"/>
    </i>
    <i t="grand">
      <x/>
    </i>
  </rowItems>
  <colItems count="1">
    <i/>
  </colItems>
  <pageFields count="1">
    <pageField fld="2" item="0" hier="-1"/>
  </pageFields>
  <dataFields count="1">
    <dataField name="Soma de Valor" fld="5" baseField="2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5">
    <v t="r">1</v>
    <v t="e">#NULL!</v>
    <v t="e">#NULL!</v>
    <v t="e">#NULL!</v>
    <v t="i">1</v>
  </a>
</arrayData>
</file>

<file path=xl/richData/rdrichvalue.xml><?xml version="1.0" encoding="utf-8"?>
<rvData xmlns="http://schemas.microsoft.com/office/spreadsheetml/2017/richdata" count="4">
  <rv s="0">
    <v>0</v>
    <v>8</v>
    <v>0</v>
    <v>3</v>
  </rv>
  <rv s="1">
    <v>8</v>
    <v>1</v>
  </rv>
  <rv s="2">
    <v>0</v>
  </rv>
  <rv s="3">
    <v>{00000000-000A-0000-FFFF-FFFF08000000}</v>
    <v>0</v>
    <v>0</v>
    <v>2</v>
  </rv>
</rvData>
</file>

<file path=xl/richData/rdrichvaluestructure.xml><?xml version="1.0" encoding="utf-8"?>
<rvStructures xmlns="http://schemas.microsoft.com/office/spreadsheetml/2017/richdata" count="4">
  <s t="_error">
    <k n="colOffset" t="i"/>
    <k n="errorType" t="i"/>
    <k n="rwOffset" t="i"/>
    <k n="subType" t="i"/>
  </s>
  <s t="_error">
    <k n="errorType" t="i"/>
    <k n="propagated" t="b"/>
  </s>
  <s t="_array">
    <k n="array" t="a"/>
  </s>
  <s t="_datasourcecontainer">
    <k n="%XLUID" t="s"/>
    <k n="_CRID" t="i"/>
    <k n="_Display" t="spb"/>
    <k n="Mês" t="r"/>
  </s>
</rvStructures>
</file>

<file path=xl/richData/rdsupportingpropertybag.xml><?xml version="1.0" encoding="utf-8"?>
<supportingPropertyBags xmlns="http://schemas.microsoft.com/office/spreadsheetml/2017/richdata2">
  <spbArrays count="1">
    <a count="4">
      <v t="s">Mês</v>
      <v t="s">_CRID</v>
      <v t="s">%XLUID</v>
      <v t="s">_Display</v>
    </a>
  </spbArrays>
  <spbData count="1">
    <spb s="0">
      <v>0</v>
    </spb>
  </spbData>
</supportingPropertyBags>
</file>

<file path=xl/richData/rdsupportingpropertybagstructure.xml><?xml version="1.0" encoding="utf-8"?>
<spbStructures xmlns="http://schemas.microsoft.com/office/spreadsheetml/2017/richdata2" count="1">
  <s>
    <k n="^Order" t="spba"/>
  </s>
</spb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D3F81ADA-8D18-4AC0-88DB-90F6F19471E4}" sourceName="Mês">
  <pivotTables>
    <pivotTable tabId="6" name="Tabela dinâmica1"/>
  </pivotTables>
  <data>
    <tabular pivotCacheId="1635063907">
      <items count="4">
        <i x="1" s="1"/>
        <i x="2" s="1"/>
        <i x="3" s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9E9177CA-297C-40CF-BEC6-7585D5E2CC5C}" cache="SegmentaçãodeDados_Mês" caption="Mê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515CF406-9014-49EB-903F-9BC8922C5A92}" cache="SegmentaçãodeDados_Mês" caption="Mês" style="SlicerStyleDark6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" displayName="TBL" ref="A1:H42" totalsRowShown="0" headerRowDxfId="2">
  <autoFilter ref="A1:H42" xr:uid="{00000000-0009-0000-0100-000002000000}">
    <filterColumn colId="2">
      <filters>
        <filter val="Saída"/>
      </filters>
    </filterColumn>
  </autoFilter>
  <tableColumns count="8">
    <tableColumn id="1" xr3:uid="{00000000-0010-0000-0000-000001000000}" name="Data"/>
    <tableColumn id="8" xr3:uid="{AC246E92-665B-49C2-98A5-BAAB04DA65ED}" name="Mês" dataDxfId="1">
      <calculatedColumnFormula array="1">MONTH(A:A)</calculatedColumnFormula>
    </tableColumn>
    <tableColumn id="2" xr3:uid="{00000000-0010-0000-0000-000002000000}" name="Tipo"/>
    <tableColumn id="3" xr3:uid="{00000000-0010-0000-0000-000003000000}" name="Categoria"/>
    <tableColumn id="4" xr3:uid="{00000000-0010-0000-0000-000004000000}" name="Descrição"/>
    <tableColumn id="5" xr3:uid="{00000000-0010-0000-0000-000005000000}" name="Valor"/>
    <tableColumn id="6" xr3:uid="{00000000-0010-0000-0000-000006000000}" name="Operação Bancária "/>
    <tableColumn id="7" xr3:uid="{00000000-0010-0000-0000-000007000000}" name="Status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EAF80-549F-4B20-A608-DC26E145E8A7}" name="Tabela1" displayName="Tabela1" ref="A4:B14" totalsRowShown="0">
  <autoFilter ref="A4:B14" xr:uid="{701EAF80-549F-4B20-A608-DC26E145E8A7}"/>
  <tableColumns count="2">
    <tableColumn id="1" xr3:uid="{8F691FE4-8FB0-48F4-8DAB-44E2C35B840E}" name="Data de Lançamentos" dataDxfId="0"/>
    <tableColumn id="2" xr3:uid="{811F1A05-3FC3-4729-9EA3-BF25FAE426A3}" name="Depósitos de Reserva" dataCellStyle="Moeda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F0"/>
  </sheetPr>
  <dimension ref="A1:B17"/>
  <sheetViews>
    <sheetView workbookViewId="0">
      <selection activeCell="A3" sqref="A3"/>
    </sheetView>
  </sheetViews>
  <sheetFormatPr defaultRowHeight="15" x14ac:dyDescent="0.25"/>
  <cols>
    <col min="1" max="1" width="20.5703125" bestFit="1" customWidth="1"/>
    <col min="2" max="2" width="13.85546875" bestFit="1" customWidth="1"/>
  </cols>
  <sheetData>
    <row r="1" spans="1:2" x14ac:dyDescent="0.25">
      <c r="A1" s="4" t="s">
        <v>1</v>
      </c>
      <c r="B1" t="s">
        <v>37</v>
      </c>
    </row>
    <row r="3" spans="1:2" x14ac:dyDescent="0.25">
      <c r="A3" s="4" t="s">
        <v>51</v>
      </c>
      <c r="B3" t="s">
        <v>53</v>
      </c>
    </row>
    <row r="4" spans="1:2" x14ac:dyDescent="0.25">
      <c r="A4" s="5" t="s">
        <v>12</v>
      </c>
      <c r="B4" s="6">
        <v>1500</v>
      </c>
    </row>
    <row r="5" spans="1:2" x14ac:dyDescent="0.25">
      <c r="A5" s="5" t="s">
        <v>28</v>
      </c>
      <c r="B5" s="6">
        <v>210</v>
      </c>
    </row>
    <row r="6" spans="1:2" x14ac:dyDescent="0.25">
      <c r="A6" s="5" t="s">
        <v>20</v>
      </c>
      <c r="B6" s="6">
        <v>400</v>
      </c>
    </row>
    <row r="7" spans="1:2" x14ac:dyDescent="0.25">
      <c r="A7" s="5" t="s">
        <v>26</v>
      </c>
      <c r="B7" s="6">
        <v>2200</v>
      </c>
    </row>
    <row r="8" spans="1:2" x14ac:dyDescent="0.25">
      <c r="A8" s="5" t="s">
        <v>33</v>
      </c>
      <c r="B8" s="6">
        <v>600</v>
      </c>
    </row>
    <row r="9" spans="1:2" x14ac:dyDescent="0.25">
      <c r="A9" s="5" t="s">
        <v>14</v>
      </c>
      <c r="B9" s="6">
        <v>550</v>
      </c>
    </row>
    <row r="10" spans="1:2" x14ac:dyDescent="0.25">
      <c r="A10" s="5" t="s">
        <v>29</v>
      </c>
      <c r="B10" s="6">
        <v>240</v>
      </c>
    </row>
    <row r="11" spans="1:2" x14ac:dyDescent="0.25">
      <c r="A11" s="5" t="s">
        <v>15</v>
      </c>
      <c r="B11" s="6">
        <v>1800</v>
      </c>
    </row>
    <row r="12" spans="1:2" x14ac:dyDescent="0.25">
      <c r="A12" s="5" t="s">
        <v>23</v>
      </c>
      <c r="B12" s="6">
        <v>600</v>
      </c>
    </row>
    <row r="13" spans="1:2" x14ac:dyDescent="0.25">
      <c r="A13" s="5" t="s">
        <v>13</v>
      </c>
      <c r="B13" s="6">
        <v>450</v>
      </c>
    </row>
    <row r="14" spans="1:2" x14ac:dyDescent="0.25">
      <c r="A14" s="5" t="s">
        <v>35</v>
      </c>
      <c r="B14" s="6">
        <v>600</v>
      </c>
    </row>
    <row r="15" spans="1:2" x14ac:dyDescent="0.25">
      <c r="A15" s="5" t="s">
        <v>22</v>
      </c>
      <c r="B15" s="6">
        <v>1900</v>
      </c>
    </row>
    <row r="16" spans="1:2" x14ac:dyDescent="0.25">
      <c r="A16" s="5" t="s">
        <v>31</v>
      </c>
      <c r="B16" s="6">
        <v>1300</v>
      </c>
    </row>
    <row r="17" spans="1:2" x14ac:dyDescent="0.25">
      <c r="A17" s="5" t="s">
        <v>52</v>
      </c>
      <c r="B17" s="6">
        <v>12350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6"/>
  <sheetViews>
    <sheetView topLeftCell="A4" workbookViewId="0">
      <selection activeCell="C22" sqref="C22"/>
    </sheetView>
  </sheetViews>
  <sheetFormatPr defaultRowHeight="15" x14ac:dyDescent="0.25"/>
  <cols>
    <col min="1" max="1" width="18" customWidth="1"/>
    <col min="2" max="2" width="13.85546875" bestFit="1" customWidth="1"/>
  </cols>
  <sheetData>
    <row r="1" spans="1:2" x14ac:dyDescent="0.25">
      <c r="A1" s="4" t="s">
        <v>1</v>
      </c>
      <c r="B1" t="s">
        <v>7</v>
      </c>
    </row>
    <row r="3" spans="1:2" x14ac:dyDescent="0.25">
      <c r="A3" s="4" t="s">
        <v>51</v>
      </c>
      <c r="B3" t="s">
        <v>53</v>
      </c>
    </row>
    <row r="4" spans="1:2" x14ac:dyDescent="0.25">
      <c r="A4" s="5" t="s">
        <v>39</v>
      </c>
      <c r="B4" s="6">
        <v>1600</v>
      </c>
    </row>
    <row r="5" spans="1:2" x14ac:dyDescent="0.25">
      <c r="A5" s="5" t="s">
        <v>9</v>
      </c>
      <c r="B5" s="6">
        <v>18000</v>
      </c>
    </row>
    <row r="6" spans="1:2" x14ac:dyDescent="0.25">
      <c r="A6" s="5" t="s">
        <v>52</v>
      </c>
      <c r="B6" s="6">
        <v>19600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/>
  </sheetPr>
  <dimension ref="A1:H42"/>
  <sheetViews>
    <sheetView workbookViewId="0"/>
  </sheetViews>
  <sheetFormatPr defaultRowHeight="15" x14ac:dyDescent="0.25"/>
  <cols>
    <col min="1" max="1" width="10.85546875" customWidth="1"/>
    <col min="2" max="2" width="11.28515625" style="11" bestFit="1" customWidth="1"/>
    <col min="3" max="3" width="12.28515625" customWidth="1"/>
    <col min="4" max="4" width="20.5703125" bestFit="1" customWidth="1"/>
    <col min="5" max="5" width="23.28515625" bestFit="1" customWidth="1"/>
    <col min="6" max="6" width="13.28515625" customWidth="1"/>
    <col min="7" max="7" width="23.28515625" customWidth="1"/>
    <col min="8" max="8" width="12.28515625" customWidth="1"/>
  </cols>
  <sheetData>
    <row r="1" spans="1:8" ht="15.75" x14ac:dyDescent="0.25">
      <c r="A1" s="1" t="s">
        <v>0</v>
      </c>
      <c r="B1" s="10" t="s">
        <v>54</v>
      </c>
      <c r="C1" s="1" t="s">
        <v>1</v>
      </c>
      <c r="D1" s="1" t="s">
        <v>4</v>
      </c>
      <c r="E1" s="1" t="s">
        <v>2</v>
      </c>
      <c r="F1" s="1" t="s">
        <v>3</v>
      </c>
      <c r="G1" s="1" t="s">
        <v>6</v>
      </c>
      <c r="H1" s="1" t="s">
        <v>5</v>
      </c>
    </row>
    <row r="2" spans="1:8" hidden="1" x14ac:dyDescent="0.25">
      <c r="A2" s="3">
        <v>45570</v>
      </c>
      <c r="B2" s="3" t="e" cm="1" vm="1">
        <f t="array" aca="1" ref="B2" ca="1">MONTH(A:A)</f>
        <v>#VALUE!</v>
      </c>
      <c r="C2" t="s">
        <v>7</v>
      </c>
      <c r="D2" t="s">
        <v>9</v>
      </c>
      <c r="E2" t="s">
        <v>8</v>
      </c>
      <c r="F2" s="2">
        <v>5000</v>
      </c>
      <c r="G2" t="s">
        <v>10</v>
      </c>
      <c r="H2" t="s">
        <v>11</v>
      </c>
    </row>
    <row r="3" spans="1:8" x14ac:dyDescent="0.25">
      <c r="A3" s="3">
        <v>45571</v>
      </c>
      <c r="B3" s="12">
        <f>MONTH(TBL[[#This Row],[Data]])</f>
        <v>10</v>
      </c>
      <c r="C3" t="s">
        <v>37</v>
      </c>
      <c r="D3" t="s">
        <v>12</v>
      </c>
      <c r="E3" t="s">
        <v>17</v>
      </c>
      <c r="F3" s="7">
        <v>500</v>
      </c>
      <c r="G3" t="s">
        <v>41</v>
      </c>
      <c r="H3" t="s">
        <v>43</v>
      </c>
    </row>
    <row r="4" spans="1:8" x14ac:dyDescent="0.25">
      <c r="A4" s="3">
        <v>45571</v>
      </c>
      <c r="B4" s="12">
        <f>MONTH(TBL[[#This Row],[Data]])</f>
        <v>10</v>
      </c>
      <c r="C4" t="s">
        <v>37</v>
      </c>
      <c r="D4" t="s">
        <v>13</v>
      </c>
      <c r="E4" t="s">
        <v>18</v>
      </c>
      <c r="F4" s="7">
        <v>150</v>
      </c>
      <c r="G4" t="s">
        <v>42</v>
      </c>
      <c r="H4" t="s">
        <v>44</v>
      </c>
    </row>
    <row r="5" spans="1:8" x14ac:dyDescent="0.25">
      <c r="A5" s="3">
        <v>45575</v>
      </c>
      <c r="B5" s="12">
        <f>MONTH(TBL[[#This Row],[Data]])</f>
        <v>10</v>
      </c>
      <c r="C5" t="s">
        <v>37</v>
      </c>
      <c r="D5" t="s">
        <v>14</v>
      </c>
      <c r="E5" t="s">
        <v>19</v>
      </c>
      <c r="F5" s="7">
        <v>100</v>
      </c>
      <c r="G5" t="s">
        <v>42</v>
      </c>
      <c r="H5" t="s">
        <v>44</v>
      </c>
    </row>
    <row r="6" spans="1:8" x14ac:dyDescent="0.25">
      <c r="A6" s="3">
        <v>45580</v>
      </c>
      <c r="B6" s="12">
        <f>MONTH(TBL[[#This Row],[Data]])</f>
        <v>10</v>
      </c>
      <c r="C6" t="s">
        <v>37</v>
      </c>
      <c r="D6" t="s">
        <v>15</v>
      </c>
      <c r="E6" t="s">
        <v>16</v>
      </c>
      <c r="F6" s="7">
        <v>200</v>
      </c>
      <c r="G6" t="s">
        <v>41</v>
      </c>
      <c r="H6" t="s">
        <v>43</v>
      </c>
    </row>
    <row r="7" spans="1:8" x14ac:dyDescent="0.25">
      <c r="A7" s="3">
        <v>45571</v>
      </c>
      <c r="B7" s="12">
        <f>MONTH(TBL[[#This Row],[Data]])</f>
        <v>10</v>
      </c>
      <c r="C7" t="s">
        <v>37</v>
      </c>
      <c r="D7" t="s">
        <v>20</v>
      </c>
      <c r="E7" t="s">
        <v>21</v>
      </c>
      <c r="F7" s="7">
        <v>400</v>
      </c>
      <c r="G7" t="s">
        <v>42</v>
      </c>
      <c r="H7" t="s">
        <v>44</v>
      </c>
    </row>
    <row r="8" spans="1:8" x14ac:dyDescent="0.25">
      <c r="A8" s="3">
        <v>45585</v>
      </c>
      <c r="B8" s="12">
        <f>MONTH(TBL[[#This Row],[Data]])</f>
        <v>10</v>
      </c>
      <c r="C8" t="s">
        <v>37</v>
      </c>
      <c r="D8" t="s">
        <v>22</v>
      </c>
      <c r="E8" t="s">
        <v>25</v>
      </c>
      <c r="F8" s="7">
        <v>600</v>
      </c>
      <c r="G8" t="s">
        <v>42</v>
      </c>
      <c r="H8" t="s">
        <v>44</v>
      </c>
    </row>
    <row r="9" spans="1:8" x14ac:dyDescent="0.25">
      <c r="A9" s="3">
        <v>45583</v>
      </c>
      <c r="B9" s="12">
        <f>MONTH(TBL[[#This Row],[Data]])</f>
        <v>10</v>
      </c>
      <c r="C9" t="s">
        <v>37</v>
      </c>
      <c r="D9" t="s">
        <v>23</v>
      </c>
      <c r="E9" t="s">
        <v>24</v>
      </c>
      <c r="F9" s="7">
        <v>200</v>
      </c>
      <c r="G9" t="s">
        <v>10</v>
      </c>
      <c r="H9" t="s">
        <v>44</v>
      </c>
    </row>
    <row r="10" spans="1:8" x14ac:dyDescent="0.25">
      <c r="A10" s="3">
        <v>45590</v>
      </c>
      <c r="B10" s="12">
        <f>MONTH(TBL[[#This Row],[Data]])</f>
        <v>10</v>
      </c>
      <c r="C10" t="s">
        <v>37</v>
      </c>
      <c r="D10" t="s">
        <v>26</v>
      </c>
      <c r="E10" t="s">
        <v>27</v>
      </c>
      <c r="F10" s="7">
        <v>1200</v>
      </c>
      <c r="G10" t="s">
        <v>42</v>
      </c>
      <c r="H10" t="s">
        <v>44</v>
      </c>
    </row>
    <row r="11" spans="1:8" x14ac:dyDescent="0.25">
      <c r="A11" s="3">
        <v>45569</v>
      </c>
      <c r="B11" s="12">
        <f>MONTH(TBL[[#This Row],[Data]])</f>
        <v>10</v>
      </c>
      <c r="C11" t="s">
        <v>37</v>
      </c>
      <c r="D11" t="s">
        <v>28</v>
      </c>
      <c r="E11" t="s">
        <v>40</v>
      </c>
      <c r="F11" s="7">
        <v>70</v>
      </c>
      <c r="G11" t="s">
        <v>10</v>
      </c>
      <c r="H11" t="s">
        <v>43</v>
      </c>
    </row>
    <row r="12" spans="1:8" x14ac:dyDescent="0.25">
      <c r="A12" s="3">
        <v>45575</v>
      </c>
      <c r="B12" s="12">
        <f>MONTH(TBL[[#This Row],[Data]])</f>
        <v>10</v>
      </c>
      <c r="C12" t="s">
        <v>37</v>
      </c>
      <c r="D12" t="s">
        <v>29</v>
      </c>
      <c r="E12" t="s">
        <v>30</v>
      </c>
      <c r="F12" s="7">
        <v>80</v>
      </c>
      <c r="G12" t="s">
        <v>10</v>
      </c>
      <c r="H12" t="s">
        <v>43</v>
      </c>
    </row>
    <row r="13" spans="1:8" x14ac:dyDescent="0.25">
      <c r="A13" s="3">
        <v>45583</v>
      </c>
      <c r="B13" s="12">
        <f>MONTH(TBL[[#This Row],[Data]])</f>
        <v>10</v>
      </c>
      <c r="C13" t="s">
        <v>37</v>
      </c>
      <c r="D13" t="s">
        <v>31</v>
      </c>
      <c r="E13" t="s">
        <v>32</v>
      </c>
      <c r="F13" s="7">
        <v>1000</v>
      </c>
      <c r="G13" t="s">
        <v>42</v>
      </c>
      <c r="H13" t="s">
        <v>44</v>
      </c>
    </row>
    <row r="14" spans="1:8" x14ac:dyDescent="0.25">
      <c r="A14" s="3">
        <v>45573</v>
      </c>
      <c r="B14" s="12">
        <f>MONTH(TBL[[#This Row],[Data]])</f>
        <v>10</v>
      </c>
      <c r="C14" t="s">
        <v>37</v>
      </c>
      <c r="D14" t="s">
        <v>33</v>
      </c>
      <c r="E14" t="s">
        <v>34</v>
      </c>
      <c r="F14" s="7">
        <v>200</v>
      </c>
      <c r="G14" t="s">
        <v>10</v>
      </c>
      <c r="H14" t="s">
        <v>44</v>
      </c>
    </row>
    <row r="15" spans="1:8" x14ac:dyDescent="0.25">
      <c r="A15" s="3">
        <v>45595</v>
      </c>
      <c r="B15" s="12">
        <f>MONTH(TBL[[#This Row],[Data]])</f>
        <v>10</v>
      </c>
      <c r="C15" t="s">
        <v>37</v>
      </c>
      <c r="D15" t="s">
        <v>35</v>
      </c>
      <c r="E15" t="s">
        <v>36</v>
      </c>
      <c r="F15" s="7">
        <v>400</v>
      </c>
      <c r="G15" t="s">
        <v>42</v>
      </c>
      <c r="H15" t="s">
        <v>44</v>
      </c>
    </row>
    <row r="16" spans="1:8" hidden="1" x14ac:dyDescent="0.25">
      <c r="A16" s="3">
        <v>45571</v>
      </c>
      <c r="B16" s="3" t="e" cm="1" vm="1">
        <f t="array" aca="1" ref="B16" ca="1">MONTH(A:A)</f>
        <v>#VALUE!</v>
      </c>
      <c r="C16" t="s">
        <v>7</v>
      </c>
      <c r="D16" t="s">
        <v>39</v>
      </c>
      <c r="E16" t="s">
        <v>49</v>
      </c>
      <c r="F16">
        <v>800</v>
      </c>
      <c r="G16" t="s">
        <v>42</v>
      </c>
      <c r="H16" t="s">
        <v>44</v>
      </c>
    </row>
    <row r="17" spans="1:8" hidden="1" x14ac:dyDescent="0.25">
      <c r="A17" s="3">
        <v>45601</v>
      </c>
      <c r="B17" s="3" t="e" cm="1" vm="1">
        <f t="array" aca="1" ref="B17" ca="1">MONTH(A:A)</f>
        <v>#VALUE!</v>
      </c>
      <c r="C17" t="s">
        <v>7</v>
      </c>
      <c r="D17" t="s">
        <v>9</v>
      </c>
      <c r="E17" t="s">
        <v>8</v>
      </c>
      <c r="F17" s="2">
        <v>5000</v>
      </c>
      <c r="G17" t="s">
        <v>10</v>
      </c>
      <c r="H17" t="s">
        <v>11</v>
      </c>
    </row>
    <row r="18" spans="1:8" x14ac:dyDescent="0.25">
      <c r="A18" s="3">
        <v>45602</v>
      </c>
      <c r="B18" s="12">
        <f>MONTH(TBL[[#This Row],[Data]])</f>
        <v>11</v>
      </c>
      <c r="C18" t="s">
        <v>37</v>
      </c>
      <c r="D18" t="s">
        <v>12</v>
      </c>
      <c r="E18" t="s">
        <v>17</v>
      </c>
      <c r="F18" s="7">
        <v>500</v>
      </c>
      <c r="G18" t="s">
        <v>41</v>
      </c>
      <c r="H18" t="s">
        <v>43</v>
      </c>
    </row>
    <row r="19" spans="1:8" x14ac:dyDescent="0.25">
      <c r="A19" s="3">
        <v>45602</v>
      </c>
      <c r="B19" s="12">
        <f>MONTH(TBL[[#This Row],[Data]])</f>
        <v>11</v>
      </c>
      <c r="C19" t="s">
        <v>37</v>
      </c>
      <c r="D19" t="s">
        <v>13</v>
      </c>
      <c r="E19" t="s">
        <v>18</v>
      </c>
      <c r="F19" s="7">
        <v>150</v>
      </c>
      <c r="G19" t="s">
        <v>42</v>
      </c>
      <c r="H19" t="s">
        <v>44</v>
      </c>
    </row>
    <row r="20" spans="1:8" x14ac:dyDescent="0.25">
      <c r="A20" s="3">
        <v>45611</v>
      </c>
      <c r="B20" s="12">
        <f>MONTH(TBL[[#This Row],[Data]])</f>
        <v>11</v>
      </c>
      <c r="C20" t="s">
        <v>37</v>
      </c>
      <c r="D20" t="s">
        <v>14</v>
      </c>
      <c r="E20" t="s">
        <v>19</v>
      </c>
      <c r="F20" s="7">
        <v>100</v>
      </c>
      <c r="G20" t="s">
        <v>42</v>
      </c>
      <c r="H20" t="s">
        <v>44</v>
      </c>
    </row>
    <row r="21" spans="1:8" x14ac:dyDescent="0.25">
      <c r="A21" s="3">
        <v>45602</v>
      </c>
      <c r="B21" s="12">
        <f>MONTH(TBL[[#This Row],[Data]])</f>
        <v>11</v>
      </c>
      <c r="C21" t="s">
        <v>37</v>
      </c>
      <c r="D21" t="s">
        <v>15</v>
      </c>
      <c r="E21" t="s">
        <v>45</v>
      </c>
      <c r="F21" s="7">
        <v>800</v>
      </c>
      <c r="G21" t="s">
        <v>41</v>
      </c>
      <c r="H21" t="s">
        <v>43</v>
      </c>
    </row>
    <row r="22" spans="1:8" x14ac:dyDescent="0.25">
      <c r="A22" s="3">
        <v>45616</v>
      </c>
      <c r="B22" s="12">
        <f>MONTH(TBL[[#This Row],[Data]])</f>
        <v>11</v>
      </c>
      <c r="C22" t="s">
        <v>37</v>
      </c>
      <c r="D22" t="s">
        <v>22</v>
      </c>
      <c r="E22" t="s">
        <v>25</v>
      </c>
      <c r="F22" s="7">
        <v>300</v>
      </c>
      <c r="G22" t="s">
        <v>42</v>
      </c>
      <c r="H22" t="s">
        <v>44</v>
      </c>
    </row>
    <row r="23" spans="1:8" x14ac:dyDescent="0.25">
      <c r="A23" s="3">
        <v>45614</v>
      </c>
      <c r="B23" s="12">
        <f>MONTH(TBL[[#This Row],[Data]])</f>
        <v>11</v>
      </c>
      <c r="C23" t="s">
        <v>37</v>
      </c>
      <c r="D23" t="s">
        <v>23</v>
      </c>
      <c r="E23" t="s">
        <v>24</v>
      </c>
      <c r="F23" s="7">
        <v>200</v>
      </c>
      <c r="G23" t="s">
        <v>10</v>
      </c>
      <c r="H23" t="s">
        <v>44</v>
      </c>
    </row>
    <row r="24" spans="1:8" x14ac:dyDescent="0.25">
      <c r="A24" s="3">
        <v>45614</v>
      </c>
      <c r="B24" s="12">
        <f>MONTH(TBL[[#This Row],[Data]])</f>
        <v>11</v>
      </c>
      <c r="C24" t="s">
        <v>37</v>
      </c>
      <c r="D24" t="s">
        <v>26</v>
      </c>
      <c r="E24" t="s">
        <v>46</v>
      </c>
      <c r="F24" s="7">
        <v>1000</v>
      </c>
      <c r="G24" t="s">
        <v>42</v>
      </c>
      <c r="H24" t="s">
        <v>44</v>
      </c>
    </row>
    <row r="25" spans="1:8" x14ac:dyDescent="0.25">
      <c r="A25" s="3">
        <v>45601</v>
      </c>
      <c r="B25" s="12">
        <f>MONTH(TBL[[#This Row],[Data]])</f>
        <v>11</v>
      </c>
      <c r="C25" t="s">
        <v>37</v>
      </c>
      <c r="D25" t="s">
        <v>28</v>
      </c>
      <c r="E25" t="s">
        <v>40</v>
      </c>
      <c r="F25" s="7">
        <v>70</v>
      </c>
      <c r="G25" t="s">
        <v>10</v>
      </c>
      <c r="H25" t="s">
        <v>43</v>
      </c>
    </row>
    <row r="26" spans="1:8" x14ac:dyDescent="0.25">
      <c r="A26" s="3">
        <v>45611</v>
      </c>
      <c r="B26" s="12">
        <f>MONTH(TBL[[#This Row],[Data]])</f>
        <v>11</v>
      </c>
      <c r="C26" t="s">
        <v>37</v>
      </c>
      <c r="D26" t="s">
        <v>29</v>
      </c>
      <c r="E26" t="s">
        <v>30</v>
      </c>
      <c r="F26" s="7">
        <v>80</v>
      </c>
      <c r="G26" t="s">
        <v>10</v>
      </c>
      <c r="H26" t="s">
        <v>43</v>
      </c>
    </row>
    <row r="27" spans="1:8" x14ac:dyDescent="0.25">
      <c r="A27" s="3">
        <v>45598</v>
      </c>
      <c r="B27" s="12">
        <f>MONTH(TBL[[#This Row],[Data]])</f>
        <v>11</v>
      </c>
      <c r="C27" t="s">
        <v>37</v>
      </c>
      <c r="D27" t="s">
        <v>31</v>
      </c>
      <c r="E27" t="s">
        <v>47</v>
      </c>
      <c r="F27" s="7">
        <v>300</v>
      </c>
      <c r="G27" t="s">
        <v>42</v>
      </c>
      <c r="H27" t="s">
        <v>44</v>
      </c>
    </row>
    <row r="28" spans="1:8" x14ac:dyDescent="0.25">
      <c r="A28" s="3">
        <v>45619</v>
      </c>
      <c r="B28" s="12">
        <f>MONTH(TBL[[#This Row],[Data]])</f>
        <v>11</v>
      </c>
      <c r="C28" t="s">
        <v>37</v>
      </c>
      <c r="D28" t="s">
        <v>33</v>
      </c>
      <c r="E28" t="s">
        <v>34</v>
      </c>
      <c r="F28" s="7">
        <v>200</v>
      </c>
      <c r="G28" t="s">
        <v>10</v>
      </c>
      <c r="H28" t="s">
        <v>44</v>
      </c>
    </row>
    <row r="29" spans="1:8" x14ac:dyDescent="0.25">
      <c r="A29" s="3">
        <v>45626</v>
      </c>
      <c r="B29" s="12">
        <f>MONTH(TBL[[#This Row],[Data]])</f>
        <v>11</v>
      </c>
      <c r="C29" t="s">
        <v>37</v>
      </c>
      <c r="D29" t="s">
        <v>35</v>
      </c>
      <c r="E29" t="s">
        <v>36</v>
      </c>
      <c r="F29" s="7">
        <v>200</v>
      </c>
      <c r="G29" t="s">
        <v>42</v>
      </c>
      <c r="H29" t="s">
        <v>44</v>
      </c>
    </row>
    <row r="30" spans="1:8" hidden="1" x14ac:dyDescent="0.25">
      <c r="A30" s="3">
        <v>45606</v>
      </c>
      <c r="B30" s="3" t="e" cm="1" vm="1">
        <f t="array" aca="1" ref="B30" ca="1">MONTH(A:A)</f>
        <v>#VALUE!</v>
      </c>
      <c r="C30" t="s">
        <v>7</v>
      </c>
      <c r="D30" t="s">
        <v>39</v>
      </c>
      <c r="E30" t="s">
        <v>38</v>
      </c>
      <c r="F30">
        <v>800</v>
      </c>
      <c r="G30" t="s">
        <v>42</v>
      </c>
      <c r="H30" t="s">
        <v>44</v>
      </c>
    </row>
    <row r="31" spans="1:8" hidden="1" x14ac:dyDescent="0.25">
      <c r="A31" s="3">
        <v>45631</v>
      </c>
      <c r="B31" s="3" t="e" cm="1" vm="1">
        <f t="array" aca="1" ref="B31" ca="1">MONTH(A:A)</f>
        <v>#VALUE!</v>
      </c>
      <c r="C31" t="s">
        <v>7</v>
      </c>
      <c r="D31" t="s">
        <v>9</v>
      </c>
      <c r="E31" t="s">
        <v>48</v>
      </c>
      <c r="F31">
        <v>3000</v>
      </c>
      <c r="G31" t="s">
        <v>10</v>
      </c>
      <c r="H31" t="s">
        <v>11</v>
      </c>
    </row>
    <row r="32" spans="1:8" hidden="1" x14ac:dyDescent="0.25">
      <c r="A32" s="3">
        <v>45631</v>
      </c>
      <c r="B32" s="3" t="e" cm="1" vm="1">
        <f t="array" aca="1" ref="B32" ca="1">MONTH(A:A)</f>
        <v>#VALUE!</v>
      </c>
      <c r="C32" t="s">
        <v>7</v>
      </c>
      <c r="D32" t="s">
        <v>9</v>
      </c>
      <c r="E32" t="s">
        <v>8</v>
      </c>
      <c r="F32" s="2">
        <v>5000</v>
      </c>
      <c r="G32" t="s">
        <v>10</v>
      </c>
      <c r="H32" t="s">
        <v>11</v>
      </c>
    </row>
    <row r="33" spans="1:8" x14ac:dyDescent="0.25">
      <c r="A33" s="3">
        <v>45632</v>
      </c>
      <c r="B33" s="12">
        <f>MONTH(TBL[[#This Row],[Data]])</f>
        <v>12</v>
      </c>
      <c r="C33" t="s">
        <v>37</v>
      </c>
      <c r="D33" t="s">
        <v>12</v>
      </c>
      <c r="E33" t="s">
        <v>17</v>
      </c>
      <c r="F33" s="7">
        <v>500</v>
      </c>
      <c r="G33" t="s">
        <v>41</v>
      </c>
      <c r="H33" t="s">
        <v>43</v>
      </c>
    </row>
    <row r="34" spans="1:8" x14ac:dyDescent="0.25">
      <c r="A34" s="3">
        <v>45632</v>
      </c>
      <c r="B34" s="12">
        <f>MONTH(TBL[[#This Row],[Data]])</f>
        <v>12</v>
      </c>
      <c r="C34" t="s">
        <v>37</v>
      </c>
      <c r="D34" t="s">
        <v>13</v>
      </c>
      <c r="E34" t="s">
        <v>18</v>
      </c>
      <c r="F34" s="7">
        <v>150</v>
      </c>
      <c r="G34" t="s">
        <v>42</v>
      </c>
      <c r="H34" t="s">
        <v>44</v>
      </c>
    </row>
    <row r="35" spans="1:8" x14ac:dyDescent="0.25">
      <c r="A35" s="3">
        <v>45646</v>
      </c>
      <c r="B35" s="12">
        <f>MONTH(TBL[[#This Row],[Data]])</f>
        <v>12</v>
      </c>
      <c r="C35" t="s">
        <v>37</v>
      </c>
      <c r="D35" t="s">
        <v>14</v>
      </c>
      <c r="E35" t="s">
        <v>19</v>
      </c>
      <c r="F35" s="7">
        <v>100</v>
      </c>
      <c r="G35" t="s">
        <v>42</v>
      </c>
      <c r="H35" t="s">
        <v>44</v>
      </c>
    </row>
    <row r="36" spans="1:8" x14ac:dyDescent="0.25">
      <c r="A36" s="3">
        <v>45632</v>
      </c>
      <c r="B36" s="12">
        <f>MONTH(TBL[[#This Row],[Data]])</f>
        <v>12</v>
      </c>
      <c r="C36" t="s">
        <v>37</v>
      </c>
      <c r="D36" t="s">
        <v>15</v>
      </c>
      <c r="E36" t="s">
        <v>45</v>
      </c>
      <c r="F36" s="7">
        <v>800</v>
      </c>
      <c r="G36" t="s">
        <v>41</v>
      </c>
      <c r="H36" t="s">
        <v>43</v>
      </c>
    </row>
    <row r="37" spans="1:8" x14ac:dyDescent="0.25">
      <c r="A37" s="3">
        <v>45644</v>
      </c>
      <c r="B37" s="12">
        <f>MONTH(TBL[[#This Row],[Data]])</f>
        <v>12</v>
      </c>
      <c r="C37" t="s">
        <v>37</v>
      </c>
      <c r="D37" t="s">
        <v>22</v>
      </c>
      <c r="E37" t="s">
        <v>25</v>
      </c>
      <c r="F37" s="7">
        <v>1000</v>
      </c>
      <c r="G37" t="s">
        <v>42</v>
      </c>
      <c r="H37" t="s">
        <v>44</v>
      </c>
    </row>
    <row r="38" spans="1:8" x14ac:dyDescent="0.25">
      <c r="A38" s="3">
        <v>45634</v>
      </c>
      <c r="B38" s="12">
        <f>MONTH(TBL[[#This Row],[Data]])</f>
        <v>12</v>
      </c>
      <c r="C38" t="s">
        <v>37</v>
      </c>
      <c r="D38" t="s">
        <v>23</v>
      </c>
      <c r="E38" t="s">
        <v>24</v>
      </c>
      <c r="F38" s="7">
        <v>200</v>
      </c>
      <c r="G38" t="s">
        <v>10</v>
      </c>
      <c r="H38" t="s">
        <v>44</v>
      </c>
    </row>
    <row r="39" spans="1:8" x14ac:dyDescent="0.25">
      <c r="A39" s="3">
        <v>45634</v>
      </c>
      <c r="B39" s="12">
        <f>MONTH(TBL[[#This Row],[Data]])</f>
        <v>12</v>
      </c>
      <c r="C39" t="s">
        <v>37</v>
      </c>
      <c r="D39" t="s">
        <v>28</v>
      </c>
      <c r="E39" t="s">
        <v>40</v>
      </c>
      <c r="F39" s="7">
        <v>70</v>
      </c>
      <c r="G39" t="s">
        <v>10</v>
      </c>
      <c r="H39" t="s">
        <v>43</v>
      </c>
    </row>
    <row r="40" spans="1:8" x14ac:dyDescent="0.25">
      <c r="A40" s="3">
        <v>45641</v>
      </c>
      <c r="B40" s="12">
        <f>MONTH(TBL[[#This Row],[Data]])</f>
        <v>12</v>
      </c>
      <c r="C40" t="s">
        <v>37</v>
      </c>
      <c r="D40" t="s">
        <v>29</v>
      </c>
      <c r="E40" t="s">
        <v>30</v>
      </c>
      <c r="F40" s="7">
        <v>80</v>
      </c>
      <c r="G40" t="s">
        <v>10</v>
      </c>
      <c r="H40" t="s">
        <v>43</v>
      </c>
    </row>
    <row r="41" spans="1:8" x14ac:dyDescent="0.25">
      <c r="A41" s="3">
        <v>45646</v>
      </c>
      <c r="B41" s="12">
        <f>MONTH(TBL[[#This Row],[Data]])</f>
        <v>12</v>
      </c>
      <c r="C41" t="s">
        <v>37</v>
      </c>
      <c r="D41" t="s">
        <v>33</v>
      </c>
      <c r="E41" t="s">
        <v>34</v>
      </c>
      <c r="F41" s="7">
        <v>200</v>
      </c>
      <c r="G41" t="s">
        <v>10</v>
      </c>
      <c r="H41" t="s">
        <v>44</v>
      </c>
    </row>
    <row r="42" spans="1:8" x14ac:dyDescent="0.25">
      <c r="A42" s="3">
        <v>45646</v>
      </c>
      <c r="B42" s="12">
        <f>MONTH(TBL[[#This Row],[Data]])</f>
        <v>12</v>
      </c>
      <c r="C42" t="s">
        <v>37</v>
      </c>
      <c r="D42" t="s">
        <v>14</v>
      </c>
      <c r="E42" t="s">
        <v>50</v>
      </c>
      <c r="F42" s="7">
        <v>250</v>
      </c>
      <c r="G42" t="s">
        <v>42</v>
      </c>
      <c r="H42" t="s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U4"/>
  <sheetViews>
    <sheetView showGridLines="0" tabSelected="1" zoomScale="80" zoomScaleNormal="80" workbookViewId="0">
      <selection activeCell="J4" sqref="J4"/>
    </sheetView>
  </sheetViews>
  <sheetFormatPr defaultColWidth="0" defaultRowHeight="15" x14ac:dyDescent="0.25"/>
  <cols>
    <col min="1" max="1" width="20.42578125" style="9" customWidth="1"/>
    <col min="2" max="21" width="9.140625" style="8" customWidth="1"/>
    <col min="22" max="16384" width="9.140625" hidden="1"/>
  </cols>
  <sheetData>
    <row r="4" spans="17:17" x14ac:dyDescent="0.25">
      <c r="Q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EEEFD-F7C4-4276-BF69-74A539936176}">
  <dimension ref="A4:B17"/>
  <sheetViews>
    <sheetView topLeftCell="A7" workbookViewId="0">
      <selection activeCell="M19" sqref="M19"/>
    </sheetView>
  </sheetViews>
  <sheetFormatPr defaultRowHeight="15" x14ac:dyDescent="0.25"/>
  <cols>
    <col min="1" max="1" width="21.85546875" customWidth="1"/>
    <col min="2" max="2" width="22.140625" customWidth="1"/>
  </cols>
  <sheetData>
    <row r="4" spans="1:2" x14ac:dyDescent="0.25">
      <c r="A4" t="s">
        <v>55</v>
      </c>
      <c r="B4" t="s">
        <v>56</v>
      </c>
    </row>
    <row r="5" spans="1:2" x14ac:dyDescent="0.25">
      <c r="A5" s="3">
        <v>45606</v>
      </c>
      <c r="B5" s="7">
        <v>10</v>
      </c>
    </row>
    <row r="6" spans="1:2" x14ac:dyDescent="0.25">
      <c r="A6" s="3">
        <v>45616</v>
      </c>
      <c r="B6" s="7">
        <v>100</v>
      </c>
    </row>
    <row r="7" spans="1:2" x14ac:dyDescent="0.25">
      <c r="A7" s="3">
        <v>45626</v>
      </c>
      <c r="B7" s="7">
        <v>20</v>
      </c>
    </row>
    <row r="8" spans="1:2" x14ac:dyDescent="0.25">
      <c r="A8" s="3">
        <v>45627</v>
      </c>
      <c r="B8" s="7">
        <v>150</v>
      </c>
    </row>
    <row r="9" spans="1:2" x14ac:dyDescent="0.25">
      <c r="A9" s="3">
        <v>45631</v>
      </c>
      <c r="B9" s="7">
        <v>20</v>
      </c>
    </row>
    <row r="10" spans="1:2" x14ac:dyDescent="0.25">
      <c r="A10" s="3">
        <v>45636</v>
      </c>
      <c r="B10" s="7">
        <v>65</v>
      </c>
    </row>
    <row r="11" spans="1:2" x14ac:dyDescent="0.25">
      <c r="A11" s="3">
        <v>45646</v>
      </c>
      <c r="B11" s="7">
        <v>200</v>
      </c>
    </row>
    <row r="12" spans="1:2" x14ac:dyDescent="0.25">
      <c r="A12" s="3">
        <v>46748</v>
      </c>
      <c r="B12" s="7">
        <v>75</v>
      </c>
    </row>
    <row r="13" spans="1:2" x14ac:dyDescent="0.25">
      <c r="A13" s="3">
        <v>45656</v>
      </c>
      <c r="B13" s="7">
        <v>40</v>
      </c>
    </row>
    <row r="14" spans="1:2" x14ac:dyDescent="0.25">
      <c r="A14" s="3">
        <v>45657</v>
      </c>
      <c r="B14" s="7">
        <v>10</v>
      </c>
    </row>
    <row r="16" spans="1:2" x14ac:dyDescent="0.25">
      <c r="A16" s="14" t="s">
        <v>57</v>
      </c>
      <c r="B16" s="13">
        <f>SUM(Tabela1[Depósitos de Reserva])</f>
        <v>690</v>
      </c>
    </row>
    <row r="17" spans="1:2" x14ac:dyDescent="0.25">
      <c r="A17" s="14" t="s">
        <v>58</v>
      </c>
      <c r="B17" s="7">
        <v>1000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controler</vt:lpstr>
      <vt:lpstr>Plan8</vt:lpstr>
      <vt:lpstr>DATA</vt:lpstr>
      <vt:lpstr>dashboard</vt:lpstr>
      <vt:lpstr>CAIXINHA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Zania SQ</cp:lastModifiedBy>
  <dcterms:created xsi:type="dcterms:W3CDTF">2024-11-10T12:52:39Z</dcterms:created>
  <dcterms:modified xsi:type="dcterms:W3CDTF">2024-12-11T22:12:47Z</dcterms:modified>
</cp:coreProperties>
</file>